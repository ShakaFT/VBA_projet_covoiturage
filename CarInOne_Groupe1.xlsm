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Cours S3\Projet VBA\"/>
    </mc:Choice>
  </mc:AlternateContent>
  <xr:revisionPtr revIDLastSave="0" documentId="13_ncr:1_{AC8DE423-AE07-4A98-9286-8AFA18E62B3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ccueil" sheetId="8" r:id="rId1"/>
    <sheet name="Planning" sheetId="6" state="veryHidden" r:id="rId2"/>
    <sheet name="Trajet" sheetId="2" state="veryHidden" r:id="rId3"/>
    <sheet name="Liste des trajets disponibles" sheetId="7" state="veryHidden" r:id="rId4"/>
    <sheet name="Liste des trajets" sheetId="9" state="veryHidden" r:id="rId5"/>
    <sheet name="Usager" sheetId="1" state="veryHidden" r:id="rId6"/>
    <sheet name="Ville" sheetId="3" state="veryHidden" r:id="rId7"/>
    <sheet name="Participant" sheetId="5" state="veryHidden" r:id="rId8"/>
    <sheet name="Notif" sheetId="10" state="veryHidden" r:id="rId9"/>
    <sheet name="Note" sheetId="11" state="very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1" i="3" l="1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2" i="3" l="1"/>
  <c r="A3" i="3"/>
  <c r="A4" i="3"/>
  <c r="A5" i="3"/>
  <c r="A6" i="3"/>
</calcChain>
</file>

<file path=xl/sharedStrings.xml><?xml version="1.0" encoding="utf-8"?>
<sst xmlns="http://schemas.openxmlformats.org/spreadsheetml/2006/main" count="216" uniqueCount="145">
  <si>
    <t>idUsager</t>
  </si>
  <si>
    <t>nom</t>
  </si>
  <si>
    <t>prenom</t>
  </si>
  <si>
    <t>genre</t>
  </si>
  <si>
    <t>telephone</t>
  </si>
  <si>
    <t>photo</t>
  </si>
  <si>
    <t>dateNaissance</t>
  </si>
  <si>
    <t>idTrajet</t>
  </si>
  <si>
    <t>dateDebut</t>
  </si>
  <si>
    <t>prix</t>
  </si>
  <si>
    <t>idVille</t>
  </si>
  <si>
    <t>nomVille</t>
  </si>
  <si>
    <t>codePostal</t>
  </si>
  <si>
    <t>latitude</t>
  </si>
  <si>
    <t>longitude</t>
  </si>
  <si>
    <t>Paris</t>
  </si>
  <si>
    <t>Lyon</t>
  </si>
  <si>
    <t>45.764043</t>
  </si>
  <si>
    <t>4.835659</t>
  </si>
  <si>
    <t>48.8534</t>
  </si>
  <si>
    <t>2.3488</t>
  </si>
  <si>
    <t>Marseille</t>
  </si>
  <si>
    <t>43.300000</t>
  </si>
  <si>
    <t>5.400000</t>
  </si>
  <si>
    <t>Metz</t>
  </si>
  <si>
    <t>49.1193089</t>
  </si>
  <si>
    <t>6.1757156</t>
  </si>
  <si>
    <t>Nancy</t>
  </si>
  <si>
    <t>48.692054</t>
  </si>
  <si>
    <t>6.184417</t>
  </si>
  <si>
    <t>Heure</t>
  </si>
  <si>
    <t>heureDebut</t>
  </si>
  <si>
    <t>heureFin</t>
  </si>
  <si>
    <t>Shaka</t>
  </si>
  <si>
    <t>Florent</t>
  </si>
  <si>
    <t>Homme</t>
  </si>
  <si>
    <t>math.agt</t>
  </si>
  <si>
    <t>Mathilde</t>
  </si>
  <si>
    <t>Femme</t>
  </si>
  <si>
    <t>nomVilleArrivee</t>
  </si>
  <si>
    <t>nomVilleDepart</t>
  </si>
  <si>
    <t>Bienvenue sur CarInOne !</t>
  </si>
  <si>
    <t>Connectez-vous ou inscrivez-vous pour continuer</t>
  </si>
  <si>
    <t>pseudoConducteur</t>
  </si>
  <si>
    <t>dateFin</t>
  </si>
  <si>
    <t>Jefferson</t>
  </si>
  <si>
    <t>aieaieaie</t>
  </si>
  <si>
    <t>Toulouse</t>
  </si>
  <si>
    <t>Nice</t>
  </si>
  <si>
    <t>Nantes</t>
  </si>
  <si>
    <t>Strasbourg</t>
  </si>
  <si>
    <t>Montpellier</t>
  </si>
  <si>
    <t>Bordeaux</t>
  </si>
  <si>
    <t>Lille</t>
  </si>
  <si>
    <t>Rennes</t>
  </si>
  <si>
    <t>Reims</t>
  </si>
  <si>
    <t>Le Havre</t>
  </si>
  <si>
    <t>Saint-Etienne</t>
  </si>
  <si>
    <t>Toulon</t>
  </si>
  <si>
    <t>Grenoble</t>
  </si>
  <si>
    <t>Dijon</t>
  </si>
  <si>
    <t>Nîmes</t>
  </si>
  <si>
    <t>Angers</t>
  </si>
  <si>
    <t>Villeurbanne</t>
  </si>
  <si>
    <t>Le Mans</t>
  </si>
  <si>
    <t>Aix-en-Provence</t>
  </si>
  <si>
    <t>Clermont-Ferrand</t>
  </si>
  <si>
    <t>Brest</t>
  </si>
  <si>
    <t>Tours</t>
  </si>
  <si>
    <t>Limoges</t>
  </si>
  <si>
    <t>Amiens</t>
  </si>
  <si>
    <t>Perpignan</t>
  </si>
  <si>
    <t>MotDePasse</t>
  </si>
  <si>
    <t>Date de départ</t>
  </si>
  <si>
    <t>Heure de départ</t>
  </si>
  <si>
    <t>Date d'arrivée</t>
  </si>
  <si>
    <t>Heure d'arrivée</t>
  </si>
  <si>
    <t>Ville de départ</t>
  </si>
  <si>
    <t>Ville d'arrivée</t>
  </si>
  <si>
    <t>Prix</t>
  </si>
  <si>
    <t>Amiens (80000)</t>
  </si>
  <si>
    <t>nbPlacesDisponibles</t>
  </si>
  <si>
    <t>Nombre de places disponibles</t>
  </si>
  <si>
    <t>Aix-en-Provence (13100)</t>
  </si>
  <si>
    <t>CarInOne, quand voyage rime avec partage</t>
  </si>
  <si>
    <t>Rôle</t>
  </si>
  <si>
    <t xml:space="preserve"> </t>
  </si>
  <si>
    <t>00h00</t>
  </si>
  <si>
    <t>01h00</t>
  </si>
  <si>
    <t>02h00</t>
  </si>
  <si>
    <t>03h00</t>
  </si>
  <si>
    <t>04h00</t>
  </si>
  <si>
    <t>05h00</t>
  </si>
  <si>
    <t>06h00</t>
  </si>
  <si>
    <t>07h00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</si>
  <si>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</si>
  <si>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</si>
  <si>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</si>
  <si>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</si>
  <si>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</si>
  <si>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</si>
  <si>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</si>
  <si>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</si>
  <si>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</si>
  <si>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</si>
  <si>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</si>
  <si>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</si>
  <si>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</si>
  <si>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21h00</t>
  </si>
  <si>
    <t>22h00</t>
  </si>
  <si>
    <t>23h00</t>
  </si>
  <si>
    <t>Que voulez-vous faire ?</t>
  </si>
  <si>
    <t>Mon  planning</t>
  </si>
  <si>
    <t>villeDepart</t>
  </si>
  <si>
    <t>villeArrivee</t>
  </si>
  <si>
    <t>dateDepart</t>
  </si>
  <si>
    <t>heureDepart</t>
  </si>
  <si>
    <t>sommeNote</t>
  </si>
  <si>
    <t>nbVote</t>
  </si>
  <si>
    <t>conducteur</t>
  </si>
  <si>
    <t>note</t>
  </si>
  <si>
    <t>AUGISTROU</t>
  </si>
  <si>
    <t>20052002</t>
  </si>
  <si>
    <t>07 83 71 14 20</t>
  </si>
  <si>
    <t>GARIBALDI</t>
  </si>
  <si>
    <t>27112002</t>
  </si>
  <si>
    <t>01 02 03 04 05</t>
  </si>
  <si>
    <t>theophile</t>
  </si>
  <si>
    <t>LALLEMAND</t>
  </si>
  <si>
    <t>Theophile</t>
  </si>
  <si>
    <t>TORNICELLI</t>
  </si>
  <si>
    <t>21052002</t>
  </si>
  <si>
    <t>3/5</t>
  </si>
  <si>
    <t>4/5</t>
  </si>
  <si>
    <t>Conducteur</t>
  </si>
  <si>
    <t>21042002</t>
  </si>
  <si>
    <t>Vous êtes prêt(e) pour Amiens ?_x000D_
Vous partez d'Aix-en-Provence dans 13 jours !</t>
  </si>
  <si>
    <t>mardi 01/02/22</t>
  </si>
  <si>
    <t>mercredi 02/02/22</t>
  </si>
  <si>
    <t>jeudi 03/02/22</t>
  </si>
  <si>
    <t>vendredi 04/02/22</t>
  </si>
  <si>
    <t>samedi 05/02/22</t>
  </si>
  <si>
    <t>dimanche 30/01/22</t>
  </si>
  <si>
    <t>lundi 31/01/22</t>
  </si>
  <si>
    <t>Trajet numéro : 11_x000D_
Aix-en-Provence (13100)_x000D_
Amiens (80000)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</si>
</sst>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0#&quot; &quot;##&quot; &quot;##&quot; &quot;##&quot; &quot;##"/>
    <numFmt numFmtId="166" formatCode="h:mm;@"/>
    <numFmt numFmtId="167" formatCode="#,##0\ &quot;€&quot;"/>
  </numFmts>
  <fonts count="1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4"/>
      <color indexed="8"/>
      <name val="Goudy Old Style"/>
      <family val="1"/>
    </font>
    <font>
      <sz val="13"/>
      <color rgb="FF200000"/>
      <name val="Goudy Old Style"/>
      <family val="1"/>
    </font>
    <font>
      <sz val="11"/>
      <color rgb="FFD5F7D5"/>
      <name val="Calibri"/>
      <family val="2"/>
      <scheme val="minor"/>
    </font>
    <font>
      <b/>
      <sz val="22"/>
      <color theme="1"/>
      <name val="Goudy Old Style"/>
      <family val="1"/>
    </font>
    <font>
      <sz val="20"/>
      <color theme="1"/>
      <name val="Goudy Old Style"/>
      <family val="1"/>
    </font>
    <font>
      <b/>
      <sz val="20"/>
      <color theme="1"/>
      <name val="Goudy Old Style"/>
      <family val="1"/>
    </font>
    <font>
      <b/>
      <i/>
      <sz val="22"/>
      <color theme="5" tint="-0.499984740745262"/>
      <name val="Goudy Old Style"/>
      <family val="1"/>
    </font>
    <font>
      <b/>
      <sz val="20"/>
      <color rgb="FF339933"/>
      <name val="Goudy Old Style"/>
      <family val="1"/>
    </font>
    <font>
      <sz val="16"/>
      <color theme="1"/>
      <name val="Goudy Old Style"/>
      <family val="1"/>
    </font>
    <font>
      <sz val="30"/>
      <color theme="1"/>
      <name val="Goudy Old Style"/>
      <family val="1"/>
    </font>
    <font>
      <b/>
      <sz val="28"/>
      <color theme="1"/>
      <name val="Goudy Old Style"/>
      <family val="1"/>
    </font>
    <font>
      <b/>
      <sz val="16"/>
      <color rgb="FF339933"/>
      <name val="Goudy Old Style"/>
      <family val="1"/>
    </font>
    <font>
      <b/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5F7D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D7D31"/>
        <bgColor indexed="64"/>
      </patternFill>
    </fill>
  </fills>
  <borders count="1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0" xfId="0" applyFont="1" applyAlignment="1">
      <alignment horizontal="left" vertical="center" wrapText="1"/>
    </xf>
    <xf numFmtId="0" fontId="0" fillId="0" borderId="1" xfId="0" applyBorder="1"/>
    <xf numFmtId="1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0" fillId="2" borderId="2" xfId="0" applyFill="1" applyBorder="1"/>
    <xf numFmtId="0" fontId="0" fillId="2" borderId="0" xfId="0" applyFill="1" applyBorder="1"/>
    <xf numFmtId="0" fontId="5" fillId="2" borderId="0" xfId="0" applyFont="1" applyFill="1" applyBorder="1"/>
    <xf numFmtId="0" fontId="5" fillId="0" borderId="4" xfId="0" applyFont="1" applyFill="1" applyBorder="1"/>
    <xf numFmtId="0" fontId="0" fillId="0" borderId="5" xfId="0" applyFill="1" applyBorder="1"/>
    <xf numFmtId="0" fontId="0" fillId="0" borderId="3" xfId="0" applyFill="1" applyBorder="1"/>
    <xf numFmtId="0" fontId="0" fillId="0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6" fillId="2" borderId="9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0" fontId="7" fillId="0" borderId="0" xfId="0" applyFont="1"/>
    <xf numFmtId="0" fontId="8" fillId="0" borderId="0" xfId="0" applyFont="1" applyAlignment="1">
      <alignment vertical="center"/>
    </xf>
    <xf numFmtId="167" fontId="0" fillId="0" borderId="0" xfId="0" applyNumberFormat="1"/>
    <xf numFmtId="167" fontId="0" fillId="0" borderId="0" xfId="0" applyNumberForma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0" fillId="3" borderId="9" xfId="0" applyFill="1" applyBorder="1"/>
    <xf numFmtId="20" fontId="4" fillId="3" borderId="0" xfId="0" applyNumberFormat="1" applyFont="1" applyFill="1" applyBorder="1" applyAlignment="1">
      <alignment horizontal="center" vertical="top"/>
    </xf>
    <xf numFmtId="0" fontId="0" fillId="3" borderId="10" xfId="0" applyFill="1" applyBorder="1"/>
    <xf numFmtId="0" fontId="0" fillId="3" borderId="11" xfId="0" applyFill="1" applyBorder="1"/>
    <xf numFmtId="20" fontId="4" fillId="3" borderId="2" xfId="0" applyNumberFormat="1" applyFont="1" applyFill="1" applyBorder="1" applyAlignment="1">
      <alignment horizontal="center" vertical="top"/>
    </xf>
    <xf numFmtId="0" fontId="0" fillId="3" borderId="12" xfId="0" applyFill="1" applyBorder="1"/>
    <xf numFmtId="0" fontId="10" fillId="0" borderId="0" xfId="0" applyFont="1" applyFill="1" applyBorder="1" applyAlignment="1">
      <alignment vertical="center" wrapText="1"/>
    </xf>
    <xf numFmtId="0" fontId="11" fillId="0" borderId="0" xfId="0" applyFont="1" applyFill="1" applyAlignment="1"/>
    <xf numFmtId="0" fontId="0" fillId="0" borderId="0" xfId="0" applyFill="1"/>
    <xf numFmtId="0" fontId="0" fillId="0" borderId="0" xfId="0" applyNumberFormat="1" applyFill="1"/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top"/>
    </xf>
    <xf numFmtId="20" fontId="4" fillId="0" borderId="0" xfId="0" applyNumberFormat="1" applyFont="1" applyFill="1" applyBorder="1" applyAlignment="1">
      <alignment horizontal="center" vertical="top"/>
    </xf>
    <xf numFmtId="20" fontId="4" fillId="0" borderId="0" xfId="0" applyNumberFormat="1" applyFont="1" applyFill="1" applyAlignment="1">
      <alignment horizontal="center" vertical="top"/>
    </xf>
    <xf numFmtId="20" fontId="4" fillId="2" borderId="0" xfId="0" applyNumberFormat="1" applyFont="1" applyFill="1" applyBorder="1" applyAlignment="1">
      <alignment horizontal="center" vertical="top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4" fillId="4" borderId="6" xfId="0" applyFont="1" applyFill="1" applyBorder="1" applyAlignment="1">
      <alignment horizontal="center" vertical="top" wrapText="1"/>
    </xf>
    <xf numFmtId="0" fontId="14" fillId="4" borderId="7" xfId="0" applyFont="1" applyFill="1" applyBorder="1" applyAlignment="1">
      <alignment horizontal="center" vertical="top" wrapText="1"/>
    </xf>
    <xf numFmtId="0" fontId="14" fillId="4" borderId="8" xfId="0" applyFont="1" applyFill="1" applyBorder="1" applyAlignment="1">
      <alignment horizontal="center" vertical="top" wrapText="1"/>
    </xf>
    <xf numFmtId="0" fontId="14" fillId="4" borderId="9" xfId="0" applyFont="1" applyFill="1" applyBorder="1" applyAlignment="1">
      <alignment horizontal="center" vertical="top" wrapText="1"/>
    </xf>
    <xf numFmtId="0" fontId="14" fillId="4" borderId="0" xfId="0" applyFont="1" applyFill="1" applyBorder="1" applyAlignment="1">
      <alignment horizontal="center" vertical="top" wrapText="1"/>
    </xf>
    <xf numFmtId="0" fontId="14" fillId="4" borderId="10" xfId="0" applyFont="1" applyFill="1" applyBorder="1" applyAlignment="1">
      <alignment horizontal="center" vertical="top" wrapText="1"/>
    </xf>
    <xf numFmtId="0" fontId="14" fillId="4" borderId="11" xfId="0" applyFont="1" applyFill="1" applyBorder="1" applyAlignment="1">
      <alignment horizontal="center" vertical="top" wrapText="1"/>
    </xf>
    <xf numFmtId="0" fontId="14" fillId="4" borderId="2" xfId="0" applyFont="1" applyFill="1" applyBorder="1" applyAlignment="1">
      <alignment horizontal="center" vertical="top" wrapText="1"/>
    </xf>
    <xf numFmtId="0" fontId="14" fillId="4" borderId="12" xfId="0" applyFont="1" applyFill="1" applyBorder="1" applyAlignment="1">
      <alignment horizontal="center" vertical="top" wrapText="1"/>
    </xf>
    <xf numFmtId="0" fontId="13" fillId="3" borderId="6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5" fillId="5" borderId="16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6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h:mm;@"/>
    </dxf>
    <dxf>
      <numFmt numFmtId="19" formatCode="dd/mm/yyyy"/>
    </dxf>
    <dxf>
      <numFmt numFmtId="1" formatCode="0"/>
    </dxf>
    <dxf>
      <numFmt numFmtId="1" formatCode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65" formatCode="0#&quot; &quot;##&quot; &quot;##&quot; &quot;##&quot; &quot;##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67" formatCode="#,##0\ &quot;€&quot;"/>
    </dxf>
    <dxf>
      <numFmt numFmtId="1" formatCode="0"/>
    </dxf>
    <dxf>
      <numFmt numFmtId="30" formatCode="@"/>
    </dxf>
    <dxf>
      <numFmt numFmtId="30" formatCode="@"/>
    </dxf>
    <dxf>
      <numFmt numFmtId="166" formatCode="h:mm;@"/>
    </dxf>
    <dxf>
      <numFmt numFmtId="19" formatCode="dd/mm/yyyy"/>
    </dxf>
    <dxf>
      <numFmt numFmtId="166" formatCode="h:mm;@"/>
    </dxf>
    <dxf>
      <numFmt numFmtId="19" formatCode="dd/mm/yyyy"/>
    </dxf>
    <dxf>
      <numFmt numFmtId="1" formatCode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67" formatCode="#,##0\ &quot;€&quot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CE9B"/>
      <color rgb="FFED7D31"/>
      <color rgb="FF339933"/>
      <color rgb="FFD5F7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472440</xdr:colOff>
          <xdr:row>14</xdr:row>
          <xdr:rowOff>167640</xdr:rowOff>
        </xdr:from>
        <xdr:to>
          <xdr:col>12</xdr:col>
          <xdr:colOff>510540</xdr:colOff>
          <xdr:row>23</xdr:row>
          <xdr:rowOff>167640</xdr:rowOff>
        </xdr:to>
        <xdr:sp macro="" textlink="">
          <xdr:nvSpPr>
            <xdr:cNvPr id="2049" name="CommandButtonInscrir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14</xdr:row>
          <xdr:rowOff>152400</xdr:rowOff>
        </xdr:from>
        <xdr:to>
          <xdr:col>9</xdr:col>
          <xdr:colOff>106680</xdr:colOff>
          <xdr:row>23</xdr:row>
          <xdr:rowOff>167640</xdr:rowOff>
        </xdr:to>
        <xdr:sp macro="" textlink="">
          <xdr:nvSpPr>
            <xdr:cNvPr id="2050" name="CommandButtonConnex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525780</xdr:colOff>
      <xdr:row>0</xdr:row>
      <xdr:rowOff>91441</xdr:rowOff>
    </xdr:from>
    <xdr:to>
      <xdr:col>6</xdr:col>
      <xdr:colOff>760134</xdr:colOff>
      <xdr:row>7</xdr:row>
      <xdr:rowOff>91441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5700" y="91441"/>
          <a:ext cx="1819314" cy="1287780"/>
        </a:xfrm>
        <a:prstGeom prst="rect">
          <a:avLst/>
        </a:prstGeom>
      </xdr:spPr>
    </xdr:pic>
    <xdr:clientData/>
  </xdr:twoCellAnchor>
  <xdr:twoCellAnchor editAs="oneCell">
    <xdr:from>
      <xdr:col>11</xdr:col>
      <xdr:colOff>106680</xdr:colOff>
      <xdr:row>0</xdr:row>
      <xdr:rowOff>91441</xdr:rowOff>
    </xdr:from>
    <xdr:to>
      <xdr:col>13</xdr:col>
      <xdr:colOff>405625</xdr:colOff>
      <xdr:row>7</xdr:row>
      <xdr:rowOff>137161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3960" y="91441"/>
          <a:ext cx="1883905" cy="1333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11</xdr:row>
          <xdr:rowOff>220980</xdr:rowOff>
        </xdr:from>
        <xdr:to>
          <xdr:col>3</xdr:col>
          <xdr:colOff>243840</xdr:colOff>
          <xdr:row>12</xdr:row>
          <xdr:rowOff>312420</xdr:rowOff>
        </xdr:to>
        <xdr:sp macro="" textlink="">
          <xdr:nvSpPr>
            <xdr:cNvPr id="1026" name="CommandButtonCreerTraj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53340</xdr:rowOff>
        </xdr:from>
        <xdr:to>
          <xdr:col>6</xdr:col>
          <xdr:colOff>662940</xdr:colOff>
          <xdr:row>6</xdr:row>
          <xdr:rowOff>53340</xdr:rowOff>
        </xdr:to>
        <xdr:sp macro="" textlink="">
          <xdr:nvSpPr>
            <xdr:cNvPr id="1027" name="CommandButtonD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8</xdr:row>
          <xdr:rowOff>198120</xdr:rowOff>
        </xdr:from>
        <xdr:to>
          <xdr:col>3</xdr:col>
          <xdr:colOff>274320</xdr:colOff>
          <xdr:row>9</xdr:row>
          <xdr:rowOff>297180</xdr:rowOff>
        </xdr:to>
        <xdr:sp macro="" textlink="">
          <xdr:nvSpPr>
            <xdr:cNvPr id="1028" name="CommandButtonRetourAccueil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754380</xdr:colOff>
          <xdr:row>12</xdr:row>
          <xdr:rowOff>472440</xdr:rowOff>
        </xdr:from>
        <xdr:to>
          <xdr:col>3</xdr:col>
          <xdr:colOff>243840</xdr:colOff>
          <xdr:row>14</xdr:row>
          <xdr:rowOff>22860</xdr:rowOff>
        </xdr:to>
        <xdr:sp macro="" textlink="">
          <xdr:nvSpPr>
            <xdr:cNvPr id="1030" name="CommandButtonChercherTraj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777240</xdr:colOff>
          <xdr:row>9</xdr:row>
          <xdr:rowOff>487680</xdr:rowOff>
        </xdr:from>
        <xdr:to>
          <xdr:col>3</xdr:col>
          <xdr:colOff>259080</xdr:colOff>
          <xdr:row>11</xdr:row>
          <xdr:rowOff>38100</xdr:rowOff>
        </xdr:to>
        <xdr:sp macro="" textlink="">
          <xdr:nvSpPr>
            <xdr:cNvPr id="1031" name="CommandButtonProfil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739140</xdr:colOff>
          <xdr:row>14</xdr:row>
          <xdr:rowOff>167640</xdr:rowOff>
        </xdr:from>
        <xdr:to>
          <xdr:col>3</xdr:col>
          <xdr:colOff>228600</xdr:colOff>
          <xdr:row>15</xdr:row>
          <xdr:rowOff>251460</xdr:rowOff>
        </xdr:to>
        <xdr:sp macro="" textlink="">
          <xdr:nvSpPr>
            <xdr:cNvPr id="1032" name="CommandButtonListeTrajet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97972</xdr:colOff>
      <xdr:row>1</xdr:row>
      <xdr:rowOff>163286</xdr:rowOff>
    </xdr:from>
    <xdr:to>
      <xdr:col>1</xdr:col>
      <xdr:colOff>751114</xdr:colOff>
      <xdr:row>2</xdr:row>
      <xdr:rowOff>163286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92629" y="424543"/>
          <a:ext cx="653142" cy="391886"/>
        </a:xfrm>
        <a:prstGeom prst="rect">
          <a:avLst/>
        </a:prstGeom>
        <a:solidFill>
          <a:srgbClr val="ED7D3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97971</xdr:colOff>
      <xdr:row>2</xdr:row>
      <xdr:rowOff>489857</xdr:rowOff>
    </xdr:from>
    <xdr:to>
      <xdr:col>1</xdr:col>
      <xdr:colOff>751113</xdr:colOff>
      <xdr:row>4</xdr:row>
      <xdr:rowOff>152400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892628" y="1143000"/>
          <a:ext cx="653142" cy="391886"/>
        </a:xfrm>
        <a:prstGeom prst="rect">
          <a:avLst/>
        </a:prstGeom>
        <a:solidFill>
          <a:srgbClr val="EDCE9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65314</xdr:colOff>
      <xdr:row>1</xdr:row>
      <xdr:rowOff>130629</xdr:rowOff>
    </xdr:from>
    <xdr:to>
      <xdr:col>3</xdr:col>
      <xdr:colOff>1066799</xdr:colOff>
      <xdr:row>2</xdr:row>
      <xdr:rowOff>391886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43743" y="391886"/>
          <a:ext cx="2177142" cy="65314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aseline="0">
              <a:latin typeface="Goudy Old Style" panose="02020502050305020303" pitchFamily="18" charset="0"/>
            </a:rPr>
            <a:t>Quelle chance : vous </a:t>
          </a:r>
          <a:r>
            <a:rPr lang="fr-FR" sz="1200" b="1" baseline="0">
              <a:latin typeface="Goudy Old Style" panose="02020502050305020303" pitchFamily="18" charset="0"/>
            </a:rPr>
            <a:t>CONDUISEZ</a:t>
          </a:r>
          <a:r>
            <a:rPr lang="fr-FR" sz="1200" baseline="0">
              <a:latin typeface="Goudy Old Style" panose="02020502050305020303" pitchFamily="18" charset="0"/>
            </a:rPr>
            <a:t> le convoi ! </a:t>
          </a:r>
          <a:endParaRPr lang="fr-FR" sz="1200">
            <a:latin typeface="Goudy Old Style" panose="02020502050305020303" pitchFamily="18" charset="0"/>
          </a:endParaRPr>
        </a:p>
      </xdr:txBody>
    </xdr:sp>
    <xdr:clientData/>
  </xdr:twoCellAnchor>
  <xdr:twoCellAnchor>
    <xdr:from>
      <xdr:col>2</xdr:col>
      <xdr:colOff>76199</xdr:colOff>
      <xdr:row>2</xdr:row>
      <xdr:rowOff>435430</xdr:rowOff>
    </xdr:from>
    <xdr:to>
      <xdr:col>3</xdr:col>
      <xdr:colOff>1023257</xdr:colOff>
      <xdr:row>4</xdr:row>
      <xdr:rowOff>228601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654628" y="1088573"/>
          <a:ext cx="2122715" cy="52251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latin typeface="Goudy Old Style" panose="02020502050305020303" pitchFamily="18" charset="0"/>
            </a:rPr>
            <a:t>À vous de dormir :</a:t>
          </a:r>
          <a:r>
            <a:rPr lang="fr-FR" sz="1200" baseline="0">
              <a:latin typeface="Goudy Old Style" panose="02020502050305020303" pitchFamily="18" charset="0"/>
            </a:rPr>
            <a:t> vous êtes </a:t>
          </a:r>
          <a:r>
            <a:rPr lang="fr-FR" sz="1200" b="1" baseline="0">
              <a:latin typeface="Goudy Old Style" panose="02020502050305020303" pitchFamily="18" charset="0"/>
            </a:rPr>
            <a:t>PASSAGER</a:t>
          </a:r>
          <a:r>
            <a:rPr lang="fr-FR" sz="1200" baseline="0">
              <a:latin typeface="Goudy Old Style" panose="02020502050305020303" pitchFamily="18" charset="0"/>
            </a:rPr>
            <a:t> du convoi ! </a:t>
          </a:r>
          <a:endParaRPr lang="fr-FR" sz="1200">
            <a:latin typeface="Goudy Old Style" panose="02020502050305020303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83820</xdr:colOff>
          <xdr:row>0</xdr:row>
          <xdr:rowOff>68580</xdr:rowOff>
        </xdr:from>
        <xdr:to>
          <xdr:col>11</xdr:col>
          <xdr:colOff>53340</xdr:colOff>
          <xdr:row>3</xdr:row>
          <xdr:rowOff>175260</xdr:rowOff>
        </xdr:to>
        <xdr:sp macro="" textlink="">
          <xdr:nvSpPr>
            <xdr:cNvPr id="4097" name="CommandButtonRetourPlanning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</xdr:colOff>
          <xdr:row>0</xdr:row>
          <xdr:rowOff>68580</xdr:rowOff>
        </xdr:from>
        <xdr:to>
          <xdr:col>13</xdr:col>
          <xdr:colOff>152400</xdr:colOff>
          <xdr:row>3</xdr:row>
          <xdr:rowOff>175260</xdr:rowOff>
        </xdr:to>
        <xdr:sp macro="" textlink="">
          <xdr:nvSpPr>
            <xdr:cNvPr id="4098" name="CommandButtonParticiperTrajet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</xdr:colOff>
          <xdr:row>0</xdr:row>
          <xdr:rowOff>76200</xdr:rowOff>
        </xdr:from>
        <xdr:to>
          <xdr:col>12</xdr:col>
          <xdr:colOff>45720</xdr:colOff>
          <xdr:row>4</xdr:row>
          <xdr:rowOff>0</xdr:rowOff>
        </xdr:to>
        <xdr:sp macro="" textlink="">
          <xdr:nvSpPr>
            <xdr:cNvPr id="9217" name="CommandButtonRetourPlanning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Trajet" displayName="TableTrajet" ref="A1:J14" totalsRowShown="0" dataDxfId="61">
  <autoFilter ref="A1:J14" xr:uid="{00000000-0009-0000-0100-000002000000}"/>
  <tableColumns count="10">
    <tableColumn id="1" xr3:uid="{00000000-0010-0000-0000-000001000000}" name="idTrajet" dataDxfId="60"/>
    <tableColumn id="2" xr3:uid="{00000000-0010-0000-0000-000002000000}" name="dateDebut" dataDxfId="59"/>
    <tableColumn id="8" xr3:uid="{00000000-0010-0000-0000-000008000000}" name="heureDebut" dataDxfId="58"/>
    <tableColumn id="3" xr3:uid="{00000000-0010-0000-0000-000003000000}" name="dateFin" dataDxfId="57"/>
    <tableColumn id="10" xr3:uid="{00000000-0010-0000-0000-00000A000000}" name="heureFin" dataDxfId="56"/>
    <tableColumn id="4" xr3:uid="{00000000-0010-0000-0000-000004000000}" name="nbPlacesDisponibles" dataDxfId="55"/>
    <tableColumn id="5" xr3:uid="{00000000-0010-0000-0000-000005000000}" name="prix" dataDxfId="54"/>
    <tableColumn id="6" xr3:uid="{00000000-0010-0000-0000-000006000000}" name="nomVilleDepart" dataDxfId="53"/>
    <tableColumn id="9" xr3:uid="{00000000-0010-0000-0000-000009000000}" name="nomVilleArrivee" dataDxfId="52"/>
    <tableColumn id="7" xr3:uid="{00000000-0010-0000-0000-000007000000}" name="pseudoConducteur" dataDxfId="51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TrajetsDisponibles" displayName="TableTrajetsDisponibles" ref="A1:I2" totalsRowShown="0" headerRowDxfId="50" dataDxfId="49">
  <autoFilter ref="A1:I2" xr:uid="{00000000-0009-0000-0100-000006000000}"/>
  <sortState xmlns:xlrd2="http://schemas.microsoft.com/office/spreadsheetml/2017/richdata2" ref="A2:I2">
    <sortCondition ref="E2"/>
  </sortState>
  <tableColumns count="9">
    <tableColumn id="1" xr3:uid="{00000000-0010-0000-0100-000001000000}" name="idTrajet" dataDxfId="48"/>
    <tableColumn id="2" xr3:uid="{00000000-0010-0000-0100-000002000000}" name="Ville de départ" dataDxfId="47"/>
    <tableColumn id="3" xr3:uid="{00000000-0010-0000-0100-000003000000}" name="Ville d'arrivée" dataDxfId="46"/>
    <tableColumn id="4" xr3:uid="{00000000-0010-0000-0100-000004000000}" name="Date de départ" dataDxfId="45"/>
    <tableColumn id="5" xr3:uid="{00000000-0010-0000-0100-000005000000}" name="Heure de départ" dataDxfId="44"/>
    <tableColumn id="6" xr3:uid="{00000000-0010-0000-0100-000006000000}" name="Date d'arrivée" dataDxfId="43"/>
    <tableColumn id="7" xr3:uid="{00000000-0010-0000-0100-000007000000}" name="Heure d'arrivée" dataDxfId="42"/>
    <tableColumn id="8" xr3:uid="{00000000-0010-0000-0100-000008000000}" name="Nombre de places disponibles" dataDxfId="41"/>
    <tableColumn id="9" xr3:uid="{00000000-0010-0000-0100-000009000000}" name="Prix" dataDxfId="40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D373A53-E85E-4472-A8F0-61C310054D7C}" name="TableListeTrajets" displayName="TableListeTrajets" ref="A1:J3" totalsRowShown="0">
  <autoFilter ref="A1:J3" xr:uid="{8D373A53-E85E-4472-A8F0-61C310054D7C}"/>
  <sortState xmlns:xlrd2="http://schemas.microsoft.com/office/spreadsheetml/2017/richdata2" ref="A2:J3">
    <sortCondition ref="B2:B3"/>
    <sortCondition ref="C2:C3"/>
  </sortState>
  <tableColumns count="10">
    <tableColumn id="1" xr3:uid="{C58E3F41-C062-49E4-8148-65E900FFC796}" name="idTrajet" dataDxfId="39"/>
    <tableColumn id="2" xr3:uid="{21FA08BD-5993-42B3-8823-34929BC850D9}" name="Date de départ" dataDxfId="38"/>
    <tableColumn id="3" xr3:uid="{FBFF23B5-C674-4C16-89F0-346E8C883FE8}" name="Heure de départ" dataDxfId="37"/>
    <tableColumn id="4" xr3:uid="{9D80DAC8-28BA-42EB-81AC-BA4F4D519F77}" name="Date d'arrivée" dataDxfId="36"/>
    <tableColumn id="5" xr3:uid="{EEA28779-E490-4D38-B030-E7905AEDD935}" name="Heure d'arrivée" dataDxfId="35"/>
    <tableColumn id="6" xr3:uid="{7E41DB89-352F-4C24-9610-5554AA094069}" name="Ville de départ" dataDxfId="34"/>
    <tableColumn id="7" xr3:uid="{33FFBD2B-B36F-4D58-B9AE-91B88A50F8F0}" name="Ville d'arrivée" dataDxfId="33"/>
    <tableColumn id="8" xr3:uid="{FC029F46-D56D-48F9-89A2-01CE305BE31A}" name="Nombre de places disponibles" dataDxfId="32"/>
    <tableColumn id="10" xr3:uid="{64EBBF96-591E-486C-A97B-F6225CF6AB89}" name="Prix" dataDxfId="31"/>
    <tableColumn id="9" xr3:uid="{AA61B32A-59E9-4A3C-A541-BFDCFDE5C45E}" name="Rôle" dataDxfId="30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Usager" displayName="TableUsager" ref="A1:J5" totalsRowShown="0" dataDxfId="29">
  <autoFilter ref="A1:J5" xr:uid="{00000000-0009-0000-0100-000001000000}"/>
  <sortState xmlns:xlrd2="http://schemas.microsoft.com/office/spreadsheetml/2017/richdata2" ref="A2:J2">
    <sortCondition ref="A1:A2"/>
  </sortState>
  <tableColumns count="10">
    <tableColumn id="1" xr3:uid="{00000000-0010-0000-0200-000001000000}" name="idUsager" dataDxfId="28"/>
    <tableColumn id="2" xr3:uid="{00000000-0010-0000-0200-000002000000}" name="nom" dataDxfId="27"/>
    <tableColumn id="3" xr3:uid="{00000000-0010-0000-0200-000003000000}" name="prenom" dataDxfId="26"/>
    <tableColumn id="4" xr3:uid="{00000000-0010-0000-0200-000004000000}" name="genre" dataDxfId="25"/>
    <tableColumn id="5" xr3:uid="{00000000-0010-0000-0200-000005000000}" name="telephone" dataDxfId="24"/>
    <tableColumn id="6" xr3:uid="{00000000-0010-0000-0200-000006000000}" name="dateNaissance" dataDxfId="23"/>
    <tableColumn id="8" xr3:uid="{00000000-0010-0000-0200-000008000000}" name="MotDePasse" dataDxfId="22"/>
    <tableColumn id="10" xr3:uid="{9826795E-47CE-4B90-835A-BB6FBC9CA071}" name="sommeNote" dataDxfId="21"/>
    <tableColumn id="11" xr3:uid="{C51C920C-6885-4DAA-B944-560C03B8E01F}" name="nbVote" dataDxfId="20"/>
    <tableColumn id="7" xr3:uid="{00000000-0010-0000-0200-000007000000}" name="photo" dataDxfId="19" dataCellStyle="Lien hypertexte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Ville" displayName="TableVille" ref="A1:E31" totalsRowShown="0">
  <autoFilter ref="A1:E31" xr:uid="{00000000-0009-0000-0100-000003000000}"/>
  <tableColumns count="5">
    <tableColumn id="1" xr3:uid="{00000000-0010-0000-0300-000001000000}" name="idVille" dataDxfId="18">
      <calculatedColumnFormula>B2&amp;" ("&amp;C2&amp;")"</calculatedColumnFormula>
    </tableColumn>
    <tableColumn id="2" xr3:uid="{00000000-0010-0000-0300-000002000000}" name="nomVille" dataDxfId="17"/>
    <tableColumn id="3" xr3:uid="{00000000-0010-0000-0300-000003000000}" name="codePostal" dataDxfId="16"/>
    <tableColumn id="4" xr3:uid="{00000000-0010-0000-0300-000004000000}" name="longitude" dataDxfId="15"/>
    <tableColumn id="5" xr3:uid="{00000000-0010-0000-0300-000005000000}" name="latitude" dataDxfId="14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Participant" displayName="TableParticipant" ref="A1:B7" totalsRowShown="0" headerRowDxfId="13" dataDxfId="12">
  <autoFilter ref="A1:B7" xr:uid="{00000000-0009-0000-0100-000004000000}"/>
  <tableColumns count="2">
    <tableColumn id="1" xr3:uid="{00000000-0010-0000-0400-000001000000}" name="idTrajet" dataDxfId="11"/>
    <tableColumn id="2" xr3:uid="{00000000-0010-0000-0400-000002000000}" name="idUsager" dataDxfId="10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E107F02-7B28-4E77-A7B7-7A72B9928F86}" name="TableNotif" displayName="TableNotif" ref="A1:F2" insertRow="1" totalsRowShown="0">
  <autoFilter ref="A1:F2" xr:uid="{0E107F02-7B28-4E77-A7B7-7A72B9928F86}"/>
  <tableColumns count="6">
    <tableColumn id="1" xr3:uid="{67930B80-7A1E-4A43-991C-71238D72390E}" name="idTrajet" dataDxfId="9"/>
    <tableColumn id="2" xr3:uid="{3492459A-1B22-4EB8-8DA9-F0C62016222C}" name="idUsager" dataDxfId="8"/>
    <tableColumn id="9" xr3:uid="{F655C806-DE53-4234-80E4-DAF4365E84F1}" name="dateDepart" dataDxfId="7"/>
    <tableColumn id="8" xr3:uid="{D9B6A903-5705-4784-B2D6-1DA85D058E9E}" name="heureDepart" dataDxfId="6"/>
    <tableColumn id="5" xr3:uid="{F3894DA8-99CB-4208-AC20-410907F366B5}" name="villeDepart" dataDxfId="5"/>
    <tableColumn id="6" xr3:uid="{24FC9263-3A2F-4459-97A1-40BFE2E83A7A}" name="villeArrivee" dataDxfId="4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6F343DC-BD87-430A-8D44-9583A1F17DC0}" name="TableNote" displayName="TableNote" ref="A1:C3" totalsRowShown="0" dataDxfId="3">
  <autoFilter ref="A1:C3" xr:uid="{86F343DC-BD87-430A-8D44-9583A1F17DC0}"/>
  <tableColumns count="3">
    <tableColumn id="1" xr3:uid="{F927E1CE-CDEB-4560-9F9F-AFD1C2AF1E12}" name="idUsager" dataDxfId="2"/>
    <tableColumn id="2" xr3:uid="{895555BF-E1C3-4323-9159-BB6470D995C4}" name="conducteur" dataDxfId="1"/>
    <tableColumn id="3" xr3:uid="{7E9E1B95-409F-401B-A986-8F12626D2869}" name="note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ccueil"/>
  <dimension ref="A1:R29"/>
  <sheetViews>
    <sheetView tabSelected="1" workbookViewId="0">
      <selection activeCell="C22" sqref="C22"/>
    </sheetView>
  </sheetViews>
  <sheetFormatPr baseColWidth="10" defaultRowHeight="14.4" x14ac:dyDescent="0.3"/>
  <sheetData>
    <row r="1" spans="1:18" ht="15" thickBot="1" x14ac:dyDescent="0.35">
      <c r="A1" s="25" t="s">
        <v>86</v>
      </c>
      <c r="B1" s="26"/>
      <c r="C1" s="26"/>
      <c r="D1" s="28"/>
      <c r="E1" s="26"/>
      <c r="F1" s="26"/>
      <c r="G1" s="26"/>
      <c r="H1" s="26"/>
      <c r="I1" s="26"/>
      <c r="J1" s="26"/>
      <c r="K1" s="26"/>
      <c r="L1" s="26"/>
      <c r="M1" s="26"/>
      <c r="N1" s="26"/>
      <c r="O1" s="28"/>
      <c r="P1" s="28"/>
      <c r="Q1" s="28"/>
      <c r="R1" s="28"/>
    </row>
    <row r="2" spans="1:18" x14ac:dyDescent="0.3">
      <c r="A2" s="27"/>
      <c r="B2" s="28"/>
      <c r="C2" s="28"/>
      <c r="D2" s="29"/>
      <c r="E2" s="30"/>
      <c r="F2" s="30"/>
      <c r="G2" s="30"/>
      <c r="H2" s="30"/>
      <c r="I2" s="30"/>
      <c r="J2" s="30"/>
      <c r="K2" s="30"/>
      <c r="L2" s="30"/>
      <c r="M2" s="30"/>
      <c r="N2" s="30"/>
      <c r="O2" s="31"/>
      <c r="P2" s="28"/>
      <c r="Q2" s="28"/>
      <c r="R2" s="28"/>
    </row>
    <row r="3" spans="1:18" ht="14.4" customHeight="1" x14ac:dyDescent="0.3">
      <c r="A3" s="27"/>
      <c r="B3" s="28"/>
      <c r="C3" s="28"/>
      <c r="D3" s="36"/>
      <c r="E3" s="37"/>
      <c r="F3" s="62" t="s">
        <v>41</v>
      </c>
      <c r="G3" s="62"/>
      <c r="H3" s="62"/>
      <c r="I3" s="62"/>
      <c r="J3" s="62"/>
      <c r="K3" s="62"/>
      <c r="L3" s="62"/>
      <c r="M3" s="62"/>
      <c r="N3" s="37"/>
      <c r="O3" s="38"/>
      <c r="P3" s="28"/>
      <c r="Q3" s="28"/>
      <c r="R3" s="28"/>
    </row>
    <row r="4" spans="1:18" ht="14.4" customHeight="1" x14ac:dyDescent="0.3">
      <c r="A4" s="27"/>
      <c r="B4" s="28"/>
      <c r="C4" s="28"/>
      <c r="D4" s="36"/>
      <c r="E4" s="37"/>
      <c r="F4" s="62"/>
      <c r="G4" s="62"/>
      <c r="H4" s="62"/>
      <c r="I4" s="62"/>
      <c r="J4" s="62"/>
      <c r="K4" s="62"/>
      <c r="L4" s="62"/>
      <c r="M4" s="62"/>
      <c r="N4" s="37"/>
      <c r="O4" s="38"/>
      <c r="P4" s="28"/>
      <c r="Q4" s="28"/>
      <c r="R4" s="28"/>
    </row>
    <row r="5" spans="1:18" ht="14.4" customHeight="1" x14ac:dyDescent="0.3">
      <c r="A5" s="27"/>
      <c r="B5" s="28"/>
      <c r="C5" s="28"/>
      <c r="D5" s="36"/>
      <c r="E5" s="37"/>
      <c r="F5" s="62"/>
      <c r="G5" s="62"/>
      <c r="H5" s="62"/>
      <c r="I5" s="62"/>
      <c r="J5" s="62"/>
      <c r="K5" s="62"/>
      <c r="L5" s="62"/>
      <c r="M5" s="62"/>
      <c r="N5" s="37"/>
      <c r="O5" s="38"/>
      <c r="P5" s="28"/>
      <c r="Q5" s="28"/>
      <c r="R5" s="28"/>
    </row>
    <row r="6" spans="1:18" x14ac:dyDescent="0.3">
      <c r="A6" s="27"/>
      <c r="B6" s="28"/>
      <c r="C6" s="28"/>
      <c r="D6" s="32"/>
      <c r="E6" s="23"/>
      <c r="F6" s="62"/>
      <c r="G6" s="62"/>
      <c r="H6" s="62"/>
      <c r="I6" s="62"/>
      <c r="J6" s="62"/>
      <c r="K6" s="62"/>
      <c r="L6" s="62"/>
      <c r="M6" s="62"/>
      <c r="N6" s="23"/>
      <c r="O6" s="33"/>
      <c r="P6" s="28"/>
      <c r="Q6" s="28"/>
      <c r="R6" s="28"/>
    </row>
    <row r="7" spans="1:18" ht="14.4" customHeight="1" x14ac:dyDescent="0.3">
      <c r="A7" s="27"/>
      <c r="B7" s="28"/>
      <c r="C7" s="28"/>
      <c r="D7" s="36"/>
      <c r="E7" s="37"/>
      <c r="F7" s="37"/>
      <c r="G7" s="37"/>
      <c r="H7" s="37"/>
      <c r="I7" s="37"/>
      <c r="J7" s="37"/>
      <c r="K7" s="37"/>
      <c r="L7" s="37"/>
      <c r="M7" s="37"/>
      <c r="N7" s="37"/>
      <c r="O7" s="38"/>
      <c r="P7" s="28"/>
      <c r="Q7" s="28"/>
      <c r="R7" s="28"/>
    </row>
    <row r="8" spans="1:18" ht="14.4" customHeight="1" x14ac:dyDescent="0.3">
      <c r="A8" s="27"/>
      <c r="B8" s="28"/>
      <c r="C8" s="28"/>
      <c r="D8" s="36"/>
      <c r="E8" s="37"/>
      <c r="F8" s="37"/>
      <c r="G8" s="37"/>
      <c r="H8" s="37"/>
      <c r="I8" s="37"/>
      <c r="J8" s="37"/>
      <c r="K8" s="37"/>
      <c r="L8" s="37"/>
      <c r="M8" s="37"/>
      <c r="N8" s="37"/>
      <c r="O8" s="38"/>
      <c r="P8" s="28"/>
      <c r="Q8" s="28"/>
      <c r="R8" s="28"/>
    </row>
    <row r="9" spans="1:18" ht="14.4" customHeight="1" x14ac:dyDescent="0.3">
      <c r="A9" s="27"/>
      <c r="B9" s="28"/>
      <c r="C9" s="28"/>
      <c r="D9" s="36"/>
      <c r="E9" s="37"/>
      <c r="F9" s="37"/>
      <c r="G9" s="63" t="s">
        <v>84</v>
      </c>
      <c r="H9" s="63"/>
      <c r="I9" s="63"/>
      <c r="J9" s="63"/>
      <c r="K9" s="63"/>
      <c r="L9" s="63"/>
      <c r="M9" s="63"/>
      <c r="N9" s="37"/>
      <c r="O9" s="38"/>
      <c r="P9" s="28"/>
      <c r="Q9" s="28"/>
      <c r="R9" s="28"/>
    </row>
    <row r="10" spans="1:18" ht="14.4" customHeight="1" x14ac:dyDescent="0.3">
      <c r="A10" s="27"/>
      <c r="B10" s="28"/>
      <c r="C10" s="28"/>
      <c r="D10" s="36"/>
      <c r="E10" s="37"/>
      <c r="F10" s="37"/>
      <c r="G10" s="63"/>
      <c r="H10" s="63"/>
      <c r="I10" s="63"/>
      <c r="J10" s="63"/>
      <c r="K10" s="63"/>
      <c r="L10" s="63"/>
      <c r="M10" s="63"/>
      <c r="N10" s="37"/>
      <c r="O10" s="38"/>
      <c r="P10" s="28"/>
      <c r="Q10" s="28"/>
      <c r="R10" s="28"/>
    </row>
    <row r="11" spans="1:18" x14ac:dyDescent="0.3">
      <c r="A11" s="27"/>
      <c r="B11" s="28"/>
      <c r="C11" s="28"/>
      <c r="D11" s="3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33"/>
      <c r="P11" s="28"/>
      <c r="Q11" s="28"/>
      <c r="R11" s="28"/>
    </row>
    <row r="12" spans="1:18" x14ac:dyDescent="0.3">
      <c r="A12" s="27"/>
      <c r="B12" s="28"/>
      <c r="C12" s="28"/>
      <c r="D12" s="32"/>
      <c r="E12" s="23"/>
      <c r="F12" s="23"/>
      <c r="G12" s="23"/>
      <c r="H12" s="23"/>
      <c r="I12" s="24"/>
      <c r="J12" s="23"/>
      <c r="K12" s="23"/>
      <c r="L12" s="23"/>
      <c r="M12" s="23"/>
      <c r="N12" s="23"/>
      <c r="O12" s="33"/>
      <c r="P12" s="28"/>
      <c r="Q12" s="28"/>
      <c r="R12" s="28"/>
    </row>
    <row r="13" spans="1:18" ht="14.4" customHeight="1" x14ac:dyDescent="0.3">
      <c r="A13" s="27"/>
      <c r="B13" s="28"/>
      <c r="C13" s="28"/>
      <c r="D13" s="32"/>
      <c r="E13" s="23"/>
      <c r="F13" s="37"/>
      <c r="G13" s="62" t="s">
        <v>42</v>
      </c>
      <c r="H13" s="62"/>
      <c r="I13" s="62"/>
      <c r="J13" s="62"/>
      <c r="K13" s="62"/>
      <c r="L13" s="62"/>
      <c r="M13" s="62"/>
      <c r="N13" s="37"/>
      <c r="O13" s="33"/>
      <c r="P13" s="28"/>
      <c r="Q13" s="28"/>
      <c r="R13" s="28"/>
    </row>
    <row r="14" spans="1:18" ht="14.4" customHeight="1" x14ac:dyDescent="0.3">
      <c r="A14" s="27"/>
      <c r="B14" s="28"/>
      <c r="C14" s="28"/>
      <c r="D14" s="32"/>
      <c r="E14" s="23"/>
      <c r="F14" s="37"/>
      <c r="G14" s="62"/>
      <c r="H14" s="62"/>
      <c r="I14" s="62"/>
      <c r="J14" s="62"/>
      <c r="K14" s="62"/>
      <c r="L14" s="62"/>
      <c r="M14" s="62"/>
      <c r="N14" s="37"/>
      <c r="O14" s="33"/>
      <c r="P14" s="28"/>
      <c r="Q14" s="28"/>
      <c r="R14" s="28"/>
    </row>
    <row r="15" spans="1:18" x14ac:dyDescent="0.3">
      <c r="A15" s="27"/>
      <c r="B15" s="28"/>
      <c r="C15" s="28"/>
      <c r="D15" s="32"/>
      <c r="E15" s="23"/>
      <c r="F15" s="23"/>
      <c r="G15" s="23"/>
      <c r="H15" s="23"/>
      <c r="I15" s="24"/>
      <c r="J15" s="23"/>
      <c r="K15" s="23"/>
      <c r="L15" s="23"/>
      <c r="M15" s="23"/>
      <c r="N15" s="23"/>
      <c r="O15" s="33"/>
      <c r="P15" s="28"/>
      <c r="Q15" s="28"/>
      <c r="R15" s="28"/>
    </row>
    <row r="16" spans="1:18" x14ac:dyDescent="0.3">
      <c r="A16" s="27"/>
      <c r="B16" s="28"/>
      <c r="C16" s="28"/>
      <c r="D16" s="32"/>
      <c r="E16" s="23"/>
      <c r="F16" s="23"/>
      <c r="G16" s="23"/>
      <c r="H16" s="23"/>
      <c r="I16" s="24"/>
      <c r="J16" s="23"/>
      <c r="K16" s="23"/>
      <c r="L16" s="23"/>
      <c r="M16" s="23"/>
      <c r="N16" s="23"/>
      <c r="O16" s="33"/>
      <c r="P16" s="28"/>
      <c r="Q16" s="28"/>
      <c r="R16" s="28"/>
    </row>
    <row r="17" spans="1:18" x14ac:dyDescent="0.3">
      <c r="A17" s="27"/>
      <c r="B17" s="28"/>
      <c r="C17" s="28"/>
      <c r="D17" s="32"/>
      <c r="E17" s="23"/>
      <c r="F17" s="23"/>
      <c r="G17" s="23"/>
      <c r="H17" s="23"/>
      <c r="I17" s="24"/>
      <c r="J17" s="23"/>
      <c r="K17" s="23"/>
      <c r="L17" s="23"/>
      <c r="M17" s="23"/>
      <c r="N17" s="23"/>
      <c r="O17" s="33"/>
      <c r="P17" s="28"/>
      <c r="Q17" s="28"/>
      <c r="R17" s="28"/>
    </row>
    <row r="18" spans="1:18" x14ac:dyDescent="0.3">
      <c r="A18" s="27"/>
      <c r="B18" s="28"/>
      <c r="C18" s="28"/>
      <c r="D18" s="32"/>
      <c r="E18" s="23"/>
      <c r="F18" s="23"/>
      <c r="G18" s="23"/>
      <c r="H18" s="23"/>
      <c r="I18" s="24"/>
      <c r="J18" s="23"/>
      <c r="K18" s="23"/>
      <c r="L18" s="23"/>
      <c r="M18" s="23"/>
      <c r="N18" s="23"/>
      <c r="O18" s="33"/>
      <c r="P18" s="28"/>
      <c r="Q18" s="28"/>
      <c r="R18" s="28"/>
    </row>
    <row r="19" spans="1:18" x14ac:dyDescent="0.3">
      <c r="A19" s="27"/>
      <c r="B19" s="28"/>
      <c r="C19" s="28"/>
      <c r="D19" s="32"/>
      <c r="E19" s="23"/>
      <c r="F19" s="23"/>
      <c r="G19" s="23"/>
      <c r="H19" s="23"/>
      <c r="I19" s="24"/>
      <c r="J19" s="23"/>
      <c r="K19" s="23"/>
      <c r="L19" s="23"/>
      <c r="M19" s="23"/>
      <c r="N19" s="23"/>
      <c r="O19" s="33"/>
      <c r="P19" s="28"/>
      <c r="Q19" s="28"/>
      <c r="R19" s="28"/>
    </row>
    <row r="20" spans="1:18" x14ac:dyDescent="0.3">
      <c r="A20" s="27"/>
      <c r="B20" s="28"/>
      <c r="C20" s="28"/>
      <c r="D20" s="32"/>
      <c r="E20" s="23"/>
      <c r="F20" s="23"/>
      <c r="G20" s="23"/>
      <c r="H20" s="23"/>
      <c r="I20" s="24"/>
      <c r="J20" s="23"/>
      <c r="K20" s="23"/>
      <c r="L20" s="23"/>
      <c r="M20" s="23"/>
      <c r="N20" s="23"/>
      <c r="O20" s="33"/>
      <c r="P20" s="28"/>
      <c r="Q20" s="28"/>
      <c r="R20" s="28"/>
    </row>
    <row r="21" spans="1:18" x14ac:dyDescent="0.3">
      <c r="A21" s="27"/>
      <c r="B21" s="28"/>
      <c r="C21" s="28"/>
      <c r="D21" s="32"/>
      <c r="E21" s="23"/>
      <c r="F21" s="23"/>
      <c r="G21" s="23"/>
      <c r="H21" s="23"/>
      <c r="I21" s="24"/>
      <c r="J21" s="23"/>
      <c r="K21" s="23"/>
      <c r="L21" s="23"/>
      <c r="M21" s="23"/>
      <c r="N21" s="23"/>
      <c r="O21" s="33"/>
      <c r="P21" s="28"/>
      <c r="Q21" s="28"/>
      <c r="R21" s="28"/>
    </row>
    <row r="22" spans="1:18" x14ac:dyDescent="0.3">
      <c r="A22" s="27"/>
      <c r="B22" s="28"/>
      <c r="C22" s="28"/>
      <c r="D22" s="3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33"/>
      <c r="P22" s="28"/>
      <c r="Q22" s="28"/>
      <c r="R22" s="28"/>
    </row>
    <row r="23" spans="1:18" x14ac:dyDescent="0.3">
      <c r="A23" s="27"/>
      <c r="B23" s="28"/>
      <c r="C23" s="28"/>
      <c r="D23" s="3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33"/>
      <c r="P23" s="28"/>
      <c r="Q23" s="28"/>
      <c r="R23" s="28"/>
    </row>
    <row r="24" spans="1:18" x14ac:dyDescent="0.3">
      <c r="A24" s="27"/>
      <c r="B24" s="28"/>
      <c r="C24" s="28"/>
      <c r="D24" s="3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33"/>
      <c r="P24" s="28"/>
      <c r="Q24" s="28"/>
      <c r="R24" s="28"/>
    </row>
    <row r="25" spans="1:18" x14ac:dyDescent="0.3">
      <c r="A25" s="27"/>
      <c r="B25" s="28"/>
      <c r="C25" s="28"/>
      <c r="D25" s="3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33"/>
      <c r="P25" s="28"/>
      <c r="Q25" s="28"/>
      <c r="R25" s="28"/>
    </row>
    <row r="26" spans="1:18" x14ac:dyDescent="0.3">
      <c r="A26" s="27"/>
      <c r="B26" s="28"/>
      <c r="C26" s="28"/>
      <c r="D26" s="3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33"/>
      <c r="P26" s="28"/>
      <c r="Q26" s="28"/>
      <c r="R26" s="28"/>
    </row>
    <row r="27" spans="1:18" x14ac:dyDescent="0.3">
      <c r="A27" s="27"/>
      <c r="B27" s="28"/>
      <c r="C27" s="28"/>
      <c r="D27" s="3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33"/>
      <c r="P27" s="28"/>
      <c r="Q27" s="28"/>
      <c r="R27" s="28"/>
    </row>
    <row r="28" spans="1:18" x14ac:dyDescent="0.3">
      <c r="A28" s="27"/>
      <c r="B28" s="28"/>
      <c r="C28" s="28"/>
      <c r="D28" s="3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33"/>
      <c r="P28" s="28"/>
      <c r="Q28" s="28"/>
      <c r="R28" s="28"/>
    </row>
    <row r="29" spans="1:18" ht="15" thickBot="1" x14ac:dyDescent="0.35">
      <c r="A29" s="28"/>
      <c r="B29" s="28"/>
      <c r="C29" s="28"/>
      <c r="D29" s="34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35"/>
      <c r="P29" s="28"/>
      <c r="Q29" s="28"/>
      <c r="R29" s="28"/>
    </row>
  </sheetData>
  <mergeCells count="3">
    <mergeCell ref="F3:M6"/>
    <mergeCell ref="G13:M14"/>
    <mergeCell ref="G9:M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Inscrire">
          <controlPr defaultSize="0" autoLine="0" r:id="rId5">
            <anchor moveWithCells="1">
              <from>
                <xdr:col>9</xdr:col>
                <xdr:colOff>472440</xdr:colOff>
                <xdr:row>14</xdr:row>
                <xdr:rowOff>167640</xdr:rowOff>
              </from>
              <to>
                <xdr:col>12</xdr:col>
                <xdr:colOff>510540</xdr:colOff>
                <xdr:row>23</xdr:row>
                <xdr:rowOff>167640</xdr:rowOff>
              </to>
            </anchor>
          </controlPr>
        </control>
      </mc:Choice>
      <mc:Fallback>
        <control shapeId="2049" r:id="rId4" name="CommandButtonInscrire"/>
      </mc:Fallback>
    </mc:AlternateContent>
    <mc:AlternateContent xmlns:mc="http://schemas.openxmlformats.org/markup-compatibility/2006">
      <mc:Choice Requires="x14">
        <control shapeId="2050" r:id="rId6" name="CommandButtonConnexion">
          <controlPr defaultSize="0" autoLine="0" r:id="rId7">
            <anchor moveWithCells="1">
              <from>
                <xdr:col>6</xdr:col>
                <xdr:colOff>76200</xdr:colOff>
                <xdr:row>14</xdr:row>
                <xdr:rowOff>152400</xdr:rowOff>
              </from>
              <to>
                <xdr:col>9</xdr:col>
                <xdr:colOff>106680</xdr:colOff>
                <xdr:row>23</xdr:row>
                <xdr:rowOff>167640</xdr:rowOff>
              </to>
            </anchor>
          </controlPr>
        </control>
      </mc:Choice>
      <mc:Fallback>
        <control shapeId="2050" r:id="rId6" name="CommandButtonConnex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Planning"/>
  <dimension ref="A1:M33"/>
  <sheetViews>
    <sheetView topLeftCell="A13" zoomScale="70" zoomScaleNormal="70" workbookViewId="0">
      <selection activeCell="K16" sqref="K16"/>
    </sheetView>
  </sheetViews>
  <sheetFormatPr baseColWidth="10" defaultRowHeight="14.4" x14ac:dyDescent="0.3"/>
  <cols>
    <col min="1" max="1" width="11.5546875" customWidth="1"/>
    <col min="2" max="2" width="11.44140625" customWidth="1"/>
    <col min="3" max="3" width="17.109375" customWidth="1"/>
    <col min="4" max="4" width="16.6640625" customWidth="1"/>
    <col min="5" max="6" width="11.44140625" customWidth="1"/>
    <col min="7" max="13" width="22.77734375" customWidth="1"/>
  </cols>
  <sheetData>
    <row r="1" spans="1:13" ht="20.399999999999999" customHeight="1" thickBot="1" x14ac:dyDescent="0.35">
      <c r="A1" s="50"/>
      <c r="B1" s="50"/>
      <c r="C1" s="50"/>
    </row>
    <row r="2" spans="1:13" ht="30.6" customHeight="1" x14ac:dyDescent="0.3">
      <c r="A2" s="50"/>
      <c r="B2" s="68"/>
      <c r="C2" s="69"/>
      <c r="D2" s="70"/>
      <c r="G2" s="77" t="s">
        <v>136</v>
      </c>
      <c r="H2" s="78"/>
      <c r="I2" s="78"/>
      <c r="J2" s="78"/>
      <c r="K2" s="78"/>
      <c r="L2" s="79"/>
    </row>
    <row r="3" spans="1:13" ht="43.2" customHeight="1" thickBot="1" x14ac:dyDescent="0.35">
      <c r="A3" s="50"/>
      <c r="B3" s="71"/>
      <c r="C3" s="72"/>
      <c r="D3" s="73"/>
      <c r="G3" s="80"/>
      <c r="H3" s="81"/>
      <c r="I3" s="81"/>
      <c r="J3" s="81"/>
      <c r="K3" s="81"/>
      <c r="L3" s="82"/>
    </row>
    <row r="4" spans="1:13" ht="14.4" customHeight="1" x14ac:dyDescent="0.3">
      <c r="B4" s="71"/>
      <c r="C4" s="72"/>
      <c r="D4" s="73"/>
    </row>
    <row r="5" spans="1:13" ht="23.4" customHeight="1" thickBot="1" x14ac:dyDescent="0.6">
      <c r="B5" s="74"/>
      <c r="C5" s="75"/>
      <c r="D5" s="76"/>
      <c r="G5" s="39"/>
      <c r="I5" s="67" t="s">
        <v>112</v>
      </c>
      <c r="J5" s="67"/>
    </row>
    <row r="6" spans="1:13" ht="27" customHeight="1" x14ac:dyDescent="0.3">
      <c r="E6" s="40"/>
      <c r="F6" s="40"/>
      <c r="G6" s="40"/>
      <c r="H6" s="40"/>
      <c r="I6" s="67"/>
      <c r="J6" s="67"/>
    </row>
    <row r="7" spans="1:13" ht="15" thickBot="1" x14ac:dyDescent="0.35"/>
    <row r="8" spans="1:13" ht="21.6" thickBot="1" x14ac:dyDescent="0.45">
      <c r="A8" s="51"/>
      <c r="B8" s="64" t="s">
        <v>111</v>
      </c>
      <c r="C8" s="65"/>
      <c r="D8" s="66"/>
      <c r="E8" s="54"/>
      <c r="F8" s="43" t="s">
        <v>30</v>
      </c>
      <c r="G8" s="21" t="s">
        <v>142</v>
      </c>
      <c r="H8" s="21" t="s">
        <v>143</v>
      </c>
      <c r="I8" s="21" t="s">
        <v>137</v>
      </c>
      <c r="J8" s="21" t="s">
        <v>138</v>
      </c>
      <c r="K8" s="21" t="s">
        <v>139</v>
      </c>
      <c r="L8" s="21" t="s">
        <v>140</v>
      </c>
      <c r="M8" s="21" t="s">
        <v>141</v>
      </c>
    </row>
    <row r="9" spans="1:13" ht="43.05" customHeight="1" thickTop="1" thickBot="1" x14ac:dyDescent="0.35">
      <c r="A9" s="52"/>
      <c r="B9" s="44"/>
      <c r="C9" s="45"/>
      <c r="D9" s="46"/>
      <c r="E9" s="55"/>
      <c r="F9" s="58" t="s">
        <v>87</v>
      </c>
      <c r="G9" s="4"/>
      <c r="H9" s="4"/>
      <c r="I9" s="4"/>
      <c r="J9" s="4"/>
      <c r="K9" s="4"/>
      <c r="L9" s="4"/>
      <c r="M9" s="4"/>
    </row>
    <row r="10" spans="1:13" ht="43.05" customHeight="1" thickTop="1" thickBot="1" x14ac:dyDescent="0.35">
      <c r="A10" s="53"/>
      <c r="B10" s="44"/>
      <c r="C10" s="45"/>
      <c r="D10" s="46"/>
      <c r="E10" s="55"/>
      <c r="F10" s="58" t="s">
        <v>88</v>
      </c>
      <c r="G10" s="4"/>
      <c r="H10" s="4"/>
      <c r="I10" s="4"/>
      <c r="J10" s="4"/>
      <c r="K10" s="4"/>
      <c r="L10" s="4"/>
      <c r="M10" s="4"/>
    </row>
    <row r="11" spans="1:13" ht="43.05" customHeight="1" thickTop="1" thickBot="1" x14ac:dyDescent="0.35">
      <c r="A11" s="52"/>
      <c r="B11" s="44"/>
      <c r="C11" s="45"/>
      <c r="D11" s="46"/>
      <c r="E11" s="55"/>
      <c r="F11" s="58" t="s">
        <v>89</v>
      </c>
      <c r="G11" s="4"/>
      <c r="H11" s="4"/>
      <c r="I11" s="4"/>
      <c r="J11" s="4"/>
      <c r="K11" s="4"/>
      <c r="L11" s="4"/>
      <c r="M11" s="4"/>
    </row>
    <row r="12" spans="1:13" ht="43.05" customHeight="1" thickTop="1" thickBot="1" x14ac:dyDescent="0.35">
      <c r="A12" s="52"/>
      <c r="B12" s="44"/>
      <c r="C12" s="45"/>
      <c r="D12" s="46"/>
      <c r="E12" s="55"/>
      <c r="F12" s="58" t="s">
        <v>90</v>
      </c>
      <c r="G12" s="4"/>
      <c r="H12" s="4"/>
      <c r="I12" s="4"/>
      <c r="J12" s="4"/>
      <c r="K12" s="4"/>
      <c r="L12" s="4"/>
      <c r="M12" s="4"/>
    </row>
    <row r="13" spans="1:13" ht="43.05" customHeight="1" thickTop="1" thickBot="1" x14ac:dyDescent="0.35">
      <c r="A13" s="52"/>
      <c r="B13" s="44"/>
      <c r="C13" s="45"/>
      <c r="D13" s="46"/>
      <c r="E13" s="55"/>
      <c r="F13" s="58" t="s">
        <v>91</v>
      </c>
      <c r="G13" s="85" t="s">
        <v>144</v>
      </c>
      <c r="H13" s="4"/>
      <c r="I13" s="4"/>
      <c r="J13" s="4"/>
      <c r="K13" s="4"/>
      <c r="L13" s="4"/>
      <c r="M13" s="4"/>
    </row>
    <row r="14" spans="1:13" ht="43.05" customHeight="1" thickTop="1" thickBot="1" x14ac:dyDescent="0.35">
      <c r="A14" s="52"/>
      <c r="B14" s="44"/>
      <c r="C14" s="45"/>
      <c r="D14" s="46"/>
      <c r="E14" s="55"/>
      <c r="F14" s="58" t="s">
        <v>92</v>
      </c>
      <c r="G14" s="84"/>
      <c r="H14" s="4"/>
      <c r="I14" s="4"/>
      <c r="J14" s="4"/>
      <c r="K14" s="4"/>
      <c r="L14" s="4"/>
      <c r="M14" s="4"/>
    </row>
    <row r="15" spans="1:13" ht="43.05" customHeight="1" thickTop="1" thickBot="1" x14ac:dyDescent="0.35">
      <c r="A15" s="52"/>
      <c r="B15" s="44"/>
      <c r="C15" s="45"/>
      <c r="D15" s="46"/>
      <c r="E15" s="55"/>
      <c r="F15" s="58" t="s">
        <v>93</v>
      </c>
      <c r="G15" s="84"/>
      <c r="H15" s="4"/>
      <c r="I15" s="4"/>
      <c r="J15" s="4"/>
      <c r="K15" s="4"/>
      <c r="L15" s="4"/>
      <c r="M15" s="4"/>
    </row>
    <row r="16" spans="1:13" ht="43.05" customHeight="1" thickTop="1" thickBot="1" x14ac:dyDescent="0.35">
      <c r="A16" s="52"/>
      <c r="B16" s="47"/>
      <c r="C16" s="48"/>
      <c r="D16" s="49"/>
      <c r="E16" s="55"/>
      <c r="F16" s="58" t="s">
        <v>94</v>
      </c>
      <c r="G16" s="83"/>
      <c r="H16" s="4"/>
      <c r="I16" s="4"/>
      <c r="J16" s="4"/>
      <c r="K16" s="4"/>
      <c r="L16" s="4"/>
      <c r="M16" s="4"/>
    </row>
    <row r="17" spans="1:13" ht="43.05" customHeight="1" thickTop="1" thickBot="1" x14ac:dyDescent="0.35">
      <c r="A17" s="52"/>
      <c r="B17" s="28"/>
      <c r="C17" s="56"/>
      <c r="D17" s="28"/>
      <c r="E17" s="55"/>
      <c r="F17" s="58" t="s">
        <v>95</v>
      </c>
      <c r="G17" s="4"/>
      <c r="H17" s="4"/>
      <c r="I17" s="4"/>
      <c r="J17" s="4"/>
      <c r="K17" s="4"/>
      <c r="L17" s="4"/>
      <c r="M17" s="4"/>
    </row>
    <row r="18" spans="1:13" ht="43.05" customHeight="1" thickTop="1" thickBot="1" x14ac:dyDescent="0.35">
      <c r="A18" s="52"/>
      <c r="B18" s="52"/>
      <c r="C18" s="57"/>
      <c r="D18" s="28"/>
      <c r="E18" s="55"/>
      <c r="F18" s="58" t="s">
        <v>96</v>
      </c>
      <c r="G18" s="4"/>
      <c r="H18" s="4"/>
      <c r="I18" s="4"/>
      <c r="J18" s="4"/>
      <c r="K18" s="4"/>
      <c r="L18" s="4"/>
      <c r="M18" s="4"/>
    </row>
    <row r="19" spans="1:13" ht="43.05" customHeight="1" thickTop="1" thickBot="1" x14ac:dyDescent="0.35">
      <c r="A19" s="52"/>
      <c r="B19" s="52"/>
      <c r="C19" s="57"/>
      <c r="D19" s="28"/>
      <c r="E19" s="55"/>
      <c r="F19" s="58" t="s">
        <v>97</v>
      </c>
      <c r="G19" s="4"/>
      <c r="H19" s="4"/>
      <c r="I19" s="4"/>
      <c r="J19" s="4"/>
      <c r="K19" s="4"/>
      <c r="L19" s="4"/>
      <c r="M19" s="4"/>
    </row>
    <row r="20" spans="1:13" ht="43.05" customHeight="1" thickTop="1" thickBot="1" x14ac:dyDescent="0.35">
      <c r="A20" s="52"/>
      <c r="B20" s="52"/>
      <c r="C20" s="57"/>
      <c r="D20" s="28"/>
      <c r="E20" s="55"/>
      <c r="F20" s="58" t="s">
        <v>98</v>
      </c>
      <c r="G20" s="4"/>
      <c r="H20" s="4"/>
      <c r="I20" s="4"/>
      <c r="J20" s="4"/>
      <c r="K20" s="4"/>
      <c r="L20" s="4"/>
      <c r="M20" s="4"/>
    </row>
    <row r="21" spans="1:13" ht="43.05" customHeight="1" thickTop="1" thickBot="1" x14ac:dyDescent="0.35">
      <c r="A21" s="52"/>
      <c r="B21" s="52"/>
      <c r="C21" s="57"/>
      <c r="D21" s="28"/>
      <c r="E21" s="55"/>
      <c r="F21" s="58" t="s">
        <v>99</v>
      </c>
      <c r="G21" s="4"/>
      <c r="H21" s="4"/>
      <c r="I21" s="4"/>
      <c r="J21" s="4"/>
      <c r="K21" s="4"/>
      <c r="L21" s="4"/>
      <c r="M21" s="4"/>
    </row>
    <row r="22" spans="1:13" ht="43.05" customHeight="1" thickTop="1" thickBot="1" x14ac:dyDescent="0.35">
      <c r="A22" s="52"/>
      <c r="B22" s="52"/>
      <c r="C22" s="57"/>
      <c r="D22" s="28"/>
      <c r="E22" s="55"/>
      <c r="F22" s="58" t="s">
        <v>100</v>
      </c>
      <c r="G22" s="4"/>
      <c r="H22" s="4"/>
      <c r="I22" s="4"/>
      <c r="J22" s="4"/>
      <c r="K22" s="4"/>
      <c r="L22" s="4"/>
      <c r="M22" s="4"/>
    </row>
    <row r="23" spans="1:13" ht="43.05" customHeight="1" thickTop="1" thickBot="1" x14ac:dyDescent="0.35">
      <c r="A23" s="52"/>
      <c r="B23" s="52"/>
      <c r="C23" s="57"/>
      <c r="D23" s="28"/>
      <c r="E23" s="55"/>
      <c r="F23" s="58" t="s">
        <v>101</v>
      </c>
      <c r="G23" s="4"/>
      <c r="H23" s="4"/>
      <c r="I23" s="4"/>
      <c r="J23" s="4"/>
      <c r="K23" s="4"/>
      <c r="L23" s="4"/>
      <c r="M23" s="4"/>
    </row>
    <row r="24" spans="1:13" ht="43.05" customHeight="1" thickTop="1" thickBot="1" x14ac:dyDescent="0.35">
      <c r="A24" s="52"/>
      <c r="B24" s="52"/>
      <c r="C24" s="57"/>
      <c r="D24" s="28"/>
      <c r="E24" s="55"/>
      <c r="F24" s="58" t="s">
        <v>102</v>
      </c>
      <c r="G24" s="4"/>
      <c r="H24" s="4"/>
      <c r="I24" s="4"/>
      <c r="J24" s="4"/>
      <c r="K24" s="4"/>
      <c r="L24" s="4"/>
      <c r="M24" s="4"/>
    </row>
    <row r="25" spans="1:13" ht="43.05" customHeight="1" thickTop="1" thickBot="1" x14ac:dyDescent="0.35">
      <c r="A25" s="52"/>
      <c r="B25" s="52"/>
      <c r="C25" s="57"/>
      <c r="D25" s="28"/>
      <c r="E25" s="55"/>
      <c r="F25" s="58" t="s">
        <v>103</v>
      </c>
      <c r="G25" s="4"/>
      <c r="H25" s="4"/>
      <c r="I25" s="4"/>
      <c r="J25" s="4"/>
      <c r="K25" s="4"/>
      <c r="L25" s="4"/>
      <c r="M25" s="4"/>
    </row>
    <row r="26" spans="1:13" ht="43.05" customHeight="1" thickTop="1" thickBot="1" x14ac:dyDescent="0.35">
      <c r="A26" s="52"/>
      <c r="B26" s="52"/>
      <c r="C26" s="57"/>
      <c r="D26" s="28"/>
      <c r="E26" s="55"/>
      <c r="F26" s="58" t="s">
        <v>104</v>
      </c>
      <c r="G26" s="4"/>
      <c r="H26" s="4"/>
      <c r="I26" s="4"/>
      <c r="J26" s="4"/>
      <c r="K26" s="4"/>
      <c r="L26" s="4"/>
      <c r="M26" s="4"/>
    </row>
    <row r="27" spans="1:13" ht="43.05" customHeight="1" thickTop="1" thickBot="1" x14ac:dyDescent="0.35">
      <c r="B27" s="52"/>
      <c r="C27" s="57"/>
      <c r="D27" s="28"/>
      <c r="E27" s="55"/>
      <c r="F27" s="58" t="s">
        <v>105</v>
      </c>
      <c r="G27" s="4"/>
      <c r="H27" s="4"/>
      <c r="I27" s="4"/>
      <c r="J27" s="4"/>
      <c r="K27" s="4"/>
      <c r="L27" s="4"/>
      <c r="M27" s="4"/>
    </row>
    <row r="28" spans="1:13" ht="43.05" customHeight="1" thickTop="1" thickBot="1" x14ac:dyDescent="0.35">
      <c r="B28" s="52"/>
      <c r="C28" s="57"/>
      <c r="D28" s="28"/>
      <c r="E28" s="55"/>
      <c r="F28" s="58" t="s">
        <v>106</v>
      </c>
      <c r="G28" s="4"/>
      <c r="H28" s="4"/>
      <c r="I28" s="4"/>
      <c r="J28" s="4"/>
      <c r="K28" s="4"/>
      <c r="L28" s="4"/>
      <c r="M28" s="4"/>
    </row>
    <row r="29" spans="1:13" ht="43.05" customHeight="1" thickTop="1" thickBot="1" x14ac:dyDescent="0.35">
      <c r="B29" s="52"/>
      <c r="C29" s="57"/>
      <c r="D29" s="28"/>
      <c r="E29" s="55"/>
      <c r="F29" s="58" t="s">
        <v>107</v>
      </c>
      <c r="G29" s="4"/>
      <c r="H29" s="4"/>
      <c r="I29" s="4"/>
      <c r="J29" s="4"/>
      <c r="K29" s="4"/>
      <c r="L29" s="4"/>
      <c r="M29" s="4"/>
    </row>
    <row r="30" spans="1:13" ht="43.05" customHeight="1" thickTop="1" thickBot="1" x14ac:dyDescent="0.35">
      <c r="B30" s="52"/>
      <c r="C30" s="57"/>
      <c r="D30" s="28"/>
      <c r="E30" s="55"/>
      <c r="F30" s="58" t="s">
        <v>108</v>
      </c>
      <c r="G30" s="4"/>
      <c r="H30" s="4"/>
      <c r="I30" s="4"/>
      <c r="J30" s="4"/>
      <c r="K30" s="4"/>
      <c r="L30" s="4"/>
      <c r="M30" s="4"/>
    </row>
    <row r="31" spans="1:13" ht="43.05" customHeight="1" thickTop="1" thickBot="1" x14ac:dyDescent="0.35">
      <c r="B31" s="52"/>
      <c r="C31" s="57"/>
      <c r="D31" s="28"/>
      <c r="E31" s="55"/>
      <c r="F31" s="58" t="s">
        <v>109</v>
      </c>
      <c r="G31" s="4"/>
      <c r="H31" s="4"/>
      <c r="I31" s="4"/>
      <c r="J31" s="4"/>
      <c r="K31" s="4"/>
      <c r="L31" s="4"/>
      <c r="M31" s="4"/>
    </row>
    <row r="32" spans="1:13" ht="43.05" customHeight="1" thickTop="1" thickBot="1" x14ac:dyDescent="0.35">
      <c r="B32" s="52"/>
      <c r="C32" s="57"/>
      <c r="D32" s="28"/>
      <c r="E32" s="55"/>
      <c r="F32" s="58" t="s">
        <v>110</v>
      </c>
      <c r="G32" s="4"/>
      <c r="H32" s="4"/>
      <c r="I32" s="4"/>
      <c r="J32" s="4"/>
      <c r="K32" s="4"/>
      <c r="L32" s="4"/>
      <c r="M32" s="4"/>
    </row>
    <row r="33" spans="5:5" ht="15" thickTop="1" x14ac:dyDescent="0.3">
      <c r="E33" s="52"/>
    </row>
  </sheetData>
  <sheetProtection formatCells="0" formatColumns="0" formatRows="0" insertColumns="0" insertRows="0" insertHyperlinks="0" deleteColumns="0" deleteRows="0" sort="0" autoFilter="0" pivotTables="0"/>
  <mergeCells count="5">
    <mergeCell ref="B8:D8"/>
    <mergeCell ref="I5:J6"/>
    <mergeCell ref="B2:D5"/>
    <mergeCell ref="G2:L3"/>
    <mergeCell ref="G13:G16"/>
  </mergeCells>
  <pageMargins left="0.7" right="0.7" top="0.75" bottom="0.75" header="0.3" footer="0.3"/>
  <pageSetup scale="70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ListeTrajets">
          <controlPr defaultSize="0" autoLine="0" r:id="rId5">
            <anchor moveWithCells="1">
              <from>
                <xdr:col>1</xdr:col>
                <xdr:colOff>739140</xdr:colOff>
                <xdr:row>14</xdr:row>
                <xdr:rowOff>167640</xdr:rowOff>
              </from>
              <to>
                <xdr:col>3</xdr:col>
                <xdr:colOff>228600</xdr:colOff>
                <xdr:row>15</xdr:row>
                <xdr:rowOff>251460</xdr:rowOff>
              </to>
            </anchor>
          </controlPr>
        </control>
      </mc:Choice>
      <mc:Fallback>
        <control shapeId="1032" r:id="rId4" name="CommandButtonListeTrajets"/>
      </mc:Fallback>
    </mc:AlternateContent>
    <mc:AlternateContent xmlns:mc="http://schemas.openxmlformats.org/markup-compatibility/2006">
      <mc:Choice Requires="x14">
        <control shapeId="1028" r:id="rId6" name="CommandButtonRetourAccueil">
          <controlPr defaultSize="0" autoLine="0" r:id="rId7">
            <anchor moveWithCells="1">
              <from>
                <xdr:col>2</xdr:col>
                <xdr:colOff>7620</xdr:colOff>
                <xdr:row>8</xdr:row>
                <xdr:rowOff>198120</xdr:rowOff>
              </from>
              <to>
                <xdr:col>3</xdr:col>
                <xdr:colOff>274320</xdr:colOff>
                <xdr:row>9</xdr:row>
                <xdr:rowOff>297180</xdr:rowOff>
              </to>
            </anchor>
          </controlPr>
        </control>
      </mc:Choice>
      <mc:Fallback>
        <control shapeId="1028" r:id="rId6" name="CommandButtonRetourAccueil"/>
      </mc:Fallback>
    </mc:AlternateContent>
    <mc:AlternateContent xmlns:mc="http://schemas.openxmlformats.org/markup-compatibility/2006">
      <mc:Choice Requires="x14">
        <control shapeId="1026" r:id="rId8" name="CommandButtonCreerTrajet">
          <controlPr defaultSize="0" autoLine="0" r:id="rId9">
            <anchor moveWithCells="1">
              <from>
                <xdr:col>1</xdr:col>
                <xdr:colOff>762000</xdr:colOff>
                <xdr:row>11</xdr:row>
                <xdr:rowOff>220980</xdr:rowOff>
              </from>
              <to>
                <xdr:col>3</xdr:col>
                <xdr:colOff>243840</xdr:colOff>
                <xdr:row>12</xdr:row>
                <xdr:rowOff>312420</xdr:rowOff>
              </to>
            </anchor>
          </controlPr>
        </control>
      </mc:Choice>
      <mc:Fallback>
        <control shapeId="1026" r:id="rId8" name="CommandButtonCreerTrajet"/>
      </mc:Fallback>
    </mc:AlternateContent>
    <mc:AlternateContent xmlns:mc="http://schemas.openxmlformats.org/markup-compatibility/2006">
      <mc:Choice Requires="x14">
        <control shapeId="1027" r:id="rId10" name="CommandButtonDate">
          <controlPr defaultSize="0" autoLine="0" r:id="rId11">
            <anchor moveWithCells="1">
              <from>
                <xdr:col>5</xdr:col>
                <xdr:colOff>0</xdr:colOff>
                <xdr:row>4</xdr:row>
                <xdr:rowOff>53340</xdr:rowOff>
              </from>
              <to>
                <xdr:col>6</xdr:col>
                <xdr:colOff>662940</xdr:colOff>
                <xdr:row>6</xdr:row>
                <xdr:rowOff>53340</xdr:rowOff>
              </to>
            </anchor>
          </controlPr>
        </control>
      </mc:Choice>
      <mc:Fallback>
        <control shapeId="1027" r:id="rId10" name="CommandButtonDate"/>
      </mc:Fallback>
    </mc:AlternateContent>
    <mc:AlternateContent xmlns:mc="http://schemas.openxmlformats.org/markup-compatibility/2006">
      <mc:Choice Requires="x14">
        <control shapeId="1030" r:id="rId12" name="CommandButtonChercherTrajet">
          <controlPr defaultSize="0" autoLine="0" r:id="rId13">
            <anchor moveWithCells="1">
              <from>
                <xdr:col>1</xdr:col>
                <xdr:colOff>754380</xdr:colOff>
                <xdr:row>12</xdr:row>
                <xdr:rowOff>472440</xdr:rowOff>
              </from>
              <to>
                <xdr:col>3</xdr:col>
                <xdr:colOff>243840</xdr:colOff>
                <xdr:row>14</xdr:row>
                <xdr:rowOff>22860</xdr:rowOff>
              </to>
            </anchor>
          </controlPr>
        </control>
      </mc:Choice>
      <mc:Fallback>
        <control shapeId="1030" r:id="rId12" name="CommandButtonChercherTrajet"/>
      </mc:Fallback>
    </mc:AlternateContent>
    <mc:AlternateContent xmlns:mc="http://schemas.openxmlformats.org/markup-compatibility/2006">
      <mc:Choice Requires="x14">
        <control shapeId="1031" r:id="rId14" name="CommandButtonProfil">
          <controlPr defaultSize="0" autoLine="0" r:id="rId15">
            <anchor moveWithCells="1">
              <from>
                <xdr:col>1</xdr:col>
                <xdr:colOff>777240</xdr:colOff>
                <xdr:row>9</xdr:row>
                <xdr:rowOff>487680</xdr:rowOff>
              </from>
              <to>
                <xdr:col>3</xdr:col>
                <xdr:colOff>259080</xdr:colOff>
                <xdr:row>11</xdr:row>
                <xdr:rowOff>38100</xdr:rowOff>
              </to>
            </anchor>
          </controlPr>
        </control>
      </mc:Choice>
      <mc:Fallback>
        <control shapeId="1031" r:id="rId14" name="CommandButtonProfi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Trajet"/>
  <dimension ref="A1:J14"/>
  <sheetViews>
    <sheetView zoomScaleNormal="100" workbookViewId="0">
      <selection activeCell="D15" sqref="D15"/>
    </sheetView>
  </sheetViews>
  <sheetFormatPr baseColWidth="10" defaultRowHeight="14.4" x14ac:dyDescent="0.3"/>
  <cols>
    <col min="1" max="1" width="10" style="5" customWidth="1"/>
    <col min="2" max="2" width="13.109375" style="1" customWidth="1"/>
    <col min="3" max="3" width="15.109375" style="11" customWidth="1"/>
    <col min="4" max="4" width="15.109375" style="1" customWidth="1"/>
    <col min="5" max="5" width="12.88671875" style="11" customWidth="1"/>
    <col min="6" max="6" width="20.6640625" customWidth="1"/>
    <col min="7" max="7" width="8.33203125" style="41" customWidth="1"/>
    <col min="8" max="8" width="22" customWidth="1"/>
    <col min="9" max="9" width="23.109375" customWidth="1"/>
    <col min="10" max="11" width="25.6640625" customWidth="1"/>
  </cols>
  <sheetData>
    <row r="1" spans="1:10" x14ac:dyDescent="0.3">
      <c r="A1" s="5" t="s">
        <v>7</v>
      </c>
      <c r="B1" s="1" t="s">
        <v>8</v>
      </c>
      <c r="C1" s="11" t="s">
        <v>31</v>
      </c>
      <c r="D1" s="1" t="s">
        <v>44</v>
      </c>
      <c r="E1" s="11" t="s">
        <v>32</v>
      </c>
      <c r="F1" t="s">
        <v>81</v>
      </c>
      <c r="G1" s="41" t="s">
        <v>9</v>
      </c>
      <c r="H1" t="s">
        <v>40</v>
      </c>
      <c r="I1" t="s">
        <v>39</v>
      </c>
      <c r="J1" t="s">
        <v>43</v>
      </c>
    </row>
    <row r="2" spans="1:10" x14ac:dyDescent="0.3">
      <c r="A2" s="9">
        <v>2</v>
      </c>
      <c r="B2" s="8">
        <v>44532</v>
      </c>
      <c r="C2" s="12">
        <v>0.43402777777777773</v>
      </c>
      <c r="D2" s="8">
        <v>44533</v>
      </c>
      <c r="E2" s="12">
        <v>0.54097222222222219</v>
      </c>
      <c r="F2" s="6">
        <v>8</v>
      </c>
      <c r="G2" s="42">
        <v>15</v>
      </c>
      <c r="H2" s="60" t="s">
        <v>83</v>
      </c>
      <c r="I2" s="60" t="s">
        <v>80</v>
      </c>
      <c r="J2" s="60" t="s">
        <v>46</v>
      </c>
    </row>
    <row r="3" spans="1:10" x14ac:dyDescent="0.3">
      <c r="A3" s="9">
        <v>3</v>
      </c>
      <c r="B3" s="8">
        <v>44534</v>
      </c>
      <c r="C3" s="12">
        <v>0.875</v>
      </c>
      <c r="D3" s="8">
        <v>44534</v>
      </c>
      <c r="E3" s="12">
        <v>0.93402777777777779</v>
      </c>
      <c r="F3" s="6">
        <v>8</v>
      </c>
      <c r="G3" s="42">
        <v>15</v>
      </c>
      <c r="H3" s="60" t="s">
        <v>83</v>
      </c>
      <c r="I3" s="60" t="s">
        <v>80</v>
      </c>
      <c r="J3" s="60" t="s">
        <v>36</v>
      </c>
    </row>
    <row r="4" spans="1:10" x14ac:dyDescent="0.3">
      <c r="A4" s="9">
        <v>4</v>
      </c>
      <c r="B4" s="8">
        <v>44531</v>
      </c>
      <c r="C4" s="12">
        <v>0.43402777777777773</v>
      </c>
      <c r="D4" s="8">
        <v>44531</v>
      </c>
      <c r="E4" s="12">
        <v>0.54097222222222219</v>
      </c>
      <c r="F4" s="6">
        <v>8</v>
      </c>
      <c r="G4" s="42">
        <v>15</v>
      </c>
      <c r="H4" s="60" t="s">
        <v>83</v>
      </c>
      <c r="I4" s="60" t="s">
        <v>80</v>
      </c>
      <c r="J4" s="60" t="s">
        <v>36</v>
      </c>
    </row>
    <row r="5" spans="1:10" x14ac:dyDescent="0.3">
      <c r="A5" s="9">
        <v>5</v>
      </c>
      <c r="B5" s="8">
        <v>44531</v>
      </c>
      <c r="C5" s="12">
        <v>0.7631944444444444</v>
      </c>
      <c r="D5" s="8">
        <v>44531</v>
      </c>
      <c r="E5" s="12">
        <v>0.8618055555555556</v>
      </c>
      <c r="F5" s="6">
        <v>8</v>
      </c>
      <c r="G5" s="42">
        <v>15</v>
      </c>
      <c r="H5" s="60" t="s">
        <v>83</v>
      </c>
      <c r="I5" s="60" t="s">
        <v>80</v>
      </c>
      <c r="J5" s="60" t="s">
        <v>36</v>
      </c>
    </row>
    <row r="6" spans="1:10" x14ac:dyDescent="0.3">
      <c r="A6" s="9">
        <v>6</v>
      </c>
      <c r="B6" s="8">
        <v>44504</v>
      </c>
      <c r="C6" s="12">
        <v>0.875</v>
      </c>
      <c r="D6" s="8">
        <v>44504</v>
      </c>
      <c r="E6" s="12">
        <v>0.93402777777777779</v>
      </c>
      <c r="F6" s="6">
        <v>8</v>
      </c>
      <c r="G6" s="42">
        <v>15</v>
      </c>
      <c r="H6" s="60" t="s">
        <v>83</v>
      </c>
      <c r="I6" s="60" t="s">
        <v>80</v>
      </c>
      <c r="J6" s="60" t="s">
        <v>36</v>
      </c>
    </row>
    <row r="7" spans="1:10" x14ac:dyDescent="0.3">
      <c r="A7" s="9">
        <v>7</v>
      </c>
      <c r="B7" s="8">
        <v>44501</v>
      </c>
      <c r="C7" s="12">
        <v>8.3333333333333329E-2</v>
      </c>
      <c r="D7" s="8">
        <v>44501</v>
      </c>
      <c r="E7" s="12">
        <v>0.16666666666666666</v>
      </c>
      <c r="F7" s="6">
        <v>8</v>
      </c>
      <c r="G7" s="42">
        <v>15</v>
      </c>
      <c r="H7" s="60" t="s">
        <v>83</v>
      </c>
      <c r="I7" s="60" t="s">
        <v>80</v>
      </c>
      <c r="J7" s="60" t="s">
        <v>36</v>
      </c>
    </row>
    <row r="8" spans="1:10" x14ac:dyDescent="0.3">
      <c r="A8" s="9">
        <v>8</v>
      </c>
      <c r="B8" s="8">
        <v>44530</v>
      </c>
      <c r="C8" s="12">
        <v>0.43402777777777773</v>
      </c>
      <c r="D8" s="8">
        <v>44530</v>
      </c>
      <c r="E8" s="12">
        <v>0.53125</v>
      </c>
      <c r="F8" s="6">
        <v>8</v>
      </c>
      <c r="G8" s="42">
        <v>15</v>
      </c>
      <c r="H8" s="60" t="s">
        <v>83</v>
      </c>
      <c r="I8" s="60" t="s">
        <v>80</v>
      </c>
      <c r="J8" s="60" t="s">
        <v>127</v>
      </c>
    </row>
    <row r="9" spans="1:10" x14ac:dyDescent="0.3">
      <c r="A9" s="9">
        <v>9</v>
      </c>
      <c r="B9" s="8">
        <v>44531</v>
      </c>
      <c r="C9" s="12">
        <v>0.43402777777777773</v>
      </c>
      <c r="D9" s="8">
        <v>44531</v>
      </c>
      <c r="E9" s="12">
        <v>0.53125</v>
      </c>
      <c r="F9" s="6">
        <v>8</v>
      </c>
      <c r="G9" s="42">
        <v>15</v>
      </c>
      <c r="H9" s="60" t="s">
        <v>83</v>
      </c>
      <c r="I9" s="60" t="s">
        <v>80</v>
      </c>
      <c r="J9" s="60" t="s">
        <v>46</v>
      </c>
    </row>
    <row r="10" spans="1:10" x14ac:dyDescent="0.3">
      <c r="A10" s="9">
        <v>10</v>
      </c>
      <c r="B10" s="8">
        <v>44560</v>
      </c>
      <c r="C10" s="12">
        <v>0.43402777777777773</v>
      </c>
      <c r="D10" s="8">
        <v>44560</v>
      </c>
      <c r="E10" s="12">
        <v>0.53125</v>
      </c>
      <c r="F10" s="6">
        <v>8</v>
      </c>
      <c r="G10" s="42">
        <v>15</v>
      </c>
      <c r="H10" s="60" t="s">
        <v>83</v>
      </c>
      <c r="I10" s="60" t="s">
        <v>80</v>
      </c>
      <c r="J10" s="60" t="s">
        <v>33</v>
      </c>
    </row>
    <row r="11" spans="1:10" x14ac:dyDescent="0.3">
      <c r="A11" s="9">
        <v>11</v>
      </c>
      <c r="B11" s="8">
        <v>44591</v>
      </c>
      <c r="C11" s="12">
        <v>0.16666666666666666</v>
      </c>
      <c r="D11" s="8">
        <v>44591</v>
      </c>
      <c r="E11" s="12">
        <v>0.33333333333333331</v>
      </c>
      <c r="F11" s="6">
        <v>8</v>
      </c>
      <c r="G11" s="42">
        <v>15</v>
      </c>
      <c r="H11" s="60" t="s">
        <v>83</v>
      </c>
      <c r="I11" s="60" t="s">
        <v>80</v>
      </c>
      <c r="J11" s="60" t="s">
        <v>33</v>
      </c>
    </row>
    <row r="12" spans="1:10" x14ac:dyDescent="0.3">
      <c r="A12" s="9">
        <v>12</v>
      </c>
      <c r="B12" s="8">
        <v>44595</v>
      </c>
      <c r="C12" s="12">
        <v>0.35347222222222219</v>
      </c>
      <c r="D12" s="8">
        <v>44595</v>
      </c>
      <c r="E12" s="12">
        <v>0.41597222222222219</v>
      </c>
      <c r="F12" s="6">
        <v>8</v>
      </c>
      <c r="G12" s="42">
        <v>15</v>
      </c>
      <c r="H12" s="60" t="s">
        <v>83</v>
      </c>
      <c r="I12" s="60" t="s">
        <v>80</v>
      </c>
      <c r="J12" s="60" t="s">
        <v>46</v>
      </c>
    </row>
    <row r="13" spans="1:10" x14ac:dyDescent="0.3">
      <c r="A13" s="9">
        <v>13</v>
      </c>
      <c r="B13" s="8">
        <v>44595</v>
      </c>
      <c r="C13" s="12">
        <v>0.37083333333333335</v>
      </c>
      <c r="D13" s="8">
        <v>44595</v>
      </c>
      <c r="E13" s="12">
        <v>0.48125000000000001</v>
      </c>
      <c r="F13" s="6">
        <v>8</v>
      </c>
      <c r="G13" s="42">
        <v>15</v>
      </c>
      <c r="H13" s="60" t="s">
        <v>83</v>
      </c>
      <c r="I13" s="60" t="s">
        <v>80</v>
      </c>
      <c r="J13" s="60" t="s">
        <v>127</v>
      </c>
    </row>
    <row r="14" spans="1:10" x14ac:dyDescent="0.3">
      <c r="A14" s="9">
        <v>13</v>
      </c>
      <c r="B14" s="8">
        <v>44596</v>
      </c>
      <c r="C14" s="12">
        <v>0.65416666666666667</v>
      </c>
      <c r="D14" s="8">
        <v>44597</v>
      </c>
      <c r="E14" s="12">
        <v>0.15625</v>
      </c>
      <c r="F14" s="6">
        <v>8</v>
      </c>
      <c r="G14" s="42">
        <v>15</v>
      </c>
      <c r="H14" s="60" t="s">
        <v>83</v>
      </c>
      <c r="I14" s="60" t="s">
        <v>80</v>
      </c>
      <c r="J14" s="60" t="s">
        <v>46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TrajetsDisponibles"/>
  <dimension ref="A1:I2"/>
  <sheetViews>
    <sheetView workbookViewId="0">
      <selection activeCell="F17" sqref="F17"/>
    </sheetView>
  </sheetViews>
  <sheetFormatPr baseColWidth="10" defaultRowHeight="14.4" x14ac:dyDescent="0.3"/>
  <cols>
    <col min="1" max="1" width="10.21875" style="9" customWidth="1"/>
    <col min="2" max="2" width="21.5546875" style="6" customWidth="1"/>
    <col min="3" max="3" width="20.109375" style="6" customWidth="1"/>
    <col min="4" max="4" width="16.5546875" style="8" customWidth="1"/>
    <col min="5" max="5" width="17.5546875" style="12" customWidth="1"/>
    <col min="6" max="6" width="15.5546875" style="8" customWidth="1"/>
    <col min="7" max="7" width="17" style="12" customWidth="1"/>
    <col min="8" max="8" width="28.21875" style="9" customWidth="1"/>
    <col min="9" max="9" width="11.5546875" style="10"/>
    <col min="10" max="11" width="11.88671875" customWidth="1"/>
  </cols>
  <sheetData>
    <row r="1" spans="1:9" x14ac:dyDescent="0.3">
      <c r="A1" s="16" t="s">
        <v>7</v>
      </c>
      <c r="B1" s="17" t="s">
        <v>77</v>
      </c>
      <c r="C1" s="17" t="s">
        <v>78</v>
      </c>
      <c r="D1" s="18" t="s">
        <v>73</v>
      </c>
      <c r="E1" s="19" t="s">
        <v>74</v>
      </c>
      <c r="F1" s="18" t="s">
        <v>75</v>
      </c>
      <c r="G1" s="19" t="s">
        <v>76</v>
      </c>
      <c r="H1" s="16" t="s">
        <v>82</v>
      </c>
      <c r="I1" s="20" t="s">
        <v>79</v>
      </c>
    </row>
    <row r="2" spans="1:9" x14ac:dyDescent="0.3">
      <c r="A2" s="9">
        <v>12</v>
      </c>
      <c r="B2" s="60" t="s">
        <v>83</v>
      </c>
      <c r="C2" s="60" t="s">
        <v>80</v>
      </c>
      <c r="D2" s="8">
        <v>44595</v>
      </c>
      <c r="E2" s="12">
        <v>0.35347222222222219</v>
      </c>
      <c r="F2" s="8">
        <v>44595</v>
      </c>
      <c r="G2" s="12">
        <v>0.41597222222222219</v>
      </c>
      <c r="H2" s="9">
        <v>8</v>
      </c>
      <c r="I2" s="10">
        <v>15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RetourPlanning">
          <controlPr defaultSize="0" autoLine="0" r:id="rId5">
            <anchor moveWithCells="1">
              <from>
                <xdr:col>9</xdr:col>
                <xdr:colOff>83820</xdr:colOff>
                <xdr:row>0</xdr:row>
                <xdr:rowOff>68580</xdr:rowOff>
              </from>
              <to>
                <xdr:col>11</xdr:col>
                <xdr:colOff>53340</xdr:colOff>
                <xdr:row>3</xdr:row>
                <xdr:rowOff>175260</xdr:rowOff>
              </to>
            </anchor>
          </controlPr>
        </control>
      </mc:Choice>
      <mc:Fallback>
        <control shapeId="4097" r:id="rId4" name="CommandButtonRetourPlanning"/>
      </mc:Fallback>
    </mc:AlternateContent>
    <mc:AlternateContent xmlns:mc="http://schemas.openxmlformats.org/markup-compatibility/2006">
      <mc:Choice Requires="x14">
        <control shapeId="4098" r:id="rId6" name="CommandButtonParticiperTrajet">
          <controlPr defaultSize="0" autoLine="0" r:id="rId7">
            <anchor moveWithCells="1">
              <from>
                <xdr:col>11</xdr:col>
                <xdr:colOff>137160</xdr:colOff>
                <xdr:row>0</xdr:row>
                <xdr:rowOff>68580</xdr:rowOff>
              </from>
              <to>
                <xdr:col>13</xdr:col>
                <xdr:colOff>152400</xdr:colOff>
                <xdr:row>3</xdr:row>
                <xdr:rowOff>175260</xdr:rowOff>
              </to>
            </anchor>
          </controlPr>
        </control>
      </mc:Choice>
      <mc:Fallback>
        <control shapeId="4098" r:id="rId6" name="CommandButtonParticiperTrajet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91950-CA9A-40C8-A0CC-4C64EAB30D2A}">
  <sheetPr codeName="SheetListeTrajets"/>
  <dimension ref="A1:J3"/>
  <sheetViews>
    <sheetView workbookViewId="0">
      <selection activeCell="A2" sqref="A2:J3"/>
    </sheetView>
  </sheetViews>
  <sheetFormatPr baseColWidth="10" defaultRowHeight="14.4" x14ac:dyDescent="0.3"/>
  <cols>
    <col min="1" max="1" width="11.5546875" style="5"/>
    <col min="2" max="2" width="17.77734375" style="1" customWidth="1"/>
    <col min="3" max="3" width="18.109375" style="11" customWidth="1"/>
    <col min="4" max="4" width="14.88671875" style="1" customWidth="1"/>
    <col min="5" max="5" width="16.21875" style="11" customWidth="1"/>
    <col min="6" max="6" width="22.44140625" customWidth="1"/>
    <col min="7" max="7" width="22.21875" customWidth="1"/>
    <col min="8" max="8" width="28.33203125" style="5" customWidth="1"/>
    <col min="9" max="9" width="7.88671875" style="41" customWidth="1"/>
    <col min="10" max="10" width="12" customWidth="1"/>
    <col min="11" max="11" width="11.88671875" customWidth="1"/>
  </cols>
  <sheetData>
    <row r="1" spans="1:10" x14ac:dyDescent="0.3">
      <c r="A1" s="5" t="s">
        <v>7</v>
      </c>
      <c r="B1" s="1" t="s">
        <v>73</v>
      </c>
      <c r="C1" s="11" t="s">
        <v>74</v>
      </c>
      <c r="D1" s="1" t="s">
        <v>75</v>
      </c>
      <c r="E1" s="11" t="s">
        <v>76</v>
      </c>
      <c r="F1" t="s">
        <v>77</v>
      </c>
      <c r="G1" t="s">
        <v>78</v>
      </c>
      <c r="H1" s="5" t="s">
        <v>82</v>
      </c>
      <c r="I1" s="41" t="s">
        <v>79</v>
      </c>
      <c r="J1" t="s">
        <v>85</v>
      </c>
    </row>
    <row r="2" spans="1:10" x14ac:dyDescent="0.3">
      <c r="A2" s="5">
        <v>10</v>
      </c>
      <c r="B2" s="1">
        <v>44560</v>
      </c>
      <c r="C2" s="11">
        <v>0.43402777777777773</v>
      </c>
      <c r="D2" s="1">
        <v>44560</v>
      </c>
      <c r="E2" s="11">
        <v>0.53125</v>
      </c>
      <c r="F2" s="59" t="s">
        <v>83</v>
      </c>
      <c r="G2" s="59" t="s">
        <v>80</v>
      </c>
      <c r="H2" s="5">
        <v>8</v>
      </c>
      <c r="I2" s="41">
        <v>15</v>
      </c>
      <c r="J2" s="59" t="s">
        <v>134</v>
      </c>
    </row>
    <row r="3" spans="1:10" x14ac:dyDescent="0.3">
      <c r="A3" s="5">
        <v>11</v>
      </c>
      <c r="B3" s="1">
        <v>44591</v>
      </c>
      <c r="C3" s="11">
        <v>0.16666666666666666</v>
      </c>
      <c r="D3" s="1">
        <v>44591</v>
      </c>
      <c r="E3" s="11">
        <v>0.33333333333333331</v>
      </c>
      <c r="F3" s="59" t="s">
        <v>83</v>
      </c>
      <c r="G3" s="59" t="s">
        <v>80</v>
      </c>
      <c r="H3" s="5">
        <v>8</v>
      </c>
      <c r="I3" s="41">
        <v>15</v>
      </c>
      <c r="J3" s="59" t="s">
        <v>134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RetourPlanning2">
          <controlPr defaultSize="0" autoLine="0" r:id="rId4">
            <anchor moveWithCells="1">
              <from>
                <xdr:col>10</xdr:col>
                <xdr:colOff>53340</xdr:colOff>
                <xdr:row>0</xdr:row>
                <xdr:rowOff>76200</xdr:rowOff>
              </from>
              <to>
                <xdr:col>12</xdr:col>
                <xdr:colOff>45720</xdr:colOff>
                <xdr:row>4</xdr:row>
                <xdr:rowOff>0</xdr:rowOff>
              </to>
            </anchor>
          </controlPr>
        </control>
      </mc:Choice>
      <mc:Fallback>
        <control shapeId="9217" r:id="rId3" name="CommandButtonRetourPlanning2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Usager"/>
  <dimension ref="A1:J5"/>
  <sheetViews>
    <sheetView workbookViewId="0">
      <selection activeCell="H11" sqref="H11"/>
    </sheetView>
  </sheetViews>
  <sheetFormatPr baseColWidth="10" defaultRowHeight="14.4" x14ac:dyDescent="0.3"/>
  <cols>
    <col min="1" max="1" width="12" customWidth="1"/>
    <col min="5" max="5" width="15.44140625" style="2" customWidth="1"/>
    <col min="6" max="6" width="16.33203125" style="1" customWidth="1"/>
    <col min="7" max="7" width="16.33203125" style="13" customWidth="1"/>
    <col min="8" max="8" width="13.77734375" style="13" customWidth="1"/>
    <col min="9" max="9" width="10.33203125" style="13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s="1" t="s">
        <v>6</v>
      </c>
      <c r="G1" s="13" t="s">
        <v>72</v>
      </c>
      <c r="H1" s="13" t="s">
        <v>117</v>
      </c>
      <c r="I1" s="13" t="s">
        <v>118</v>
      </c>
      <c r="J1" t="s">
        <v>5</v>
      </c>
    </row>
    <row r="2" spans="1:10" x14ac:dyDescent="0.3">
      <c r="A2" s="60" t="s">
        <v>36</v>
      </c>
      <c r="B2" s="60" t="s">
        <v>121</v>
      </c>
      <c r="C2" s="60" t="s">
        <v>37</v>
      </c>
      <c r="D2" s="60" t="s">
        <v>38</v>
      </c>
      <c r="E2" s="7" t="s">
        <v>123</v>
      </c>
      <c r="F2" s="8">
        <v>37396</v>
      </c>
      <c r="G2" s="60" t="s">
        <v>122</v>
      </c>
      <c r="H2" s="9">
        <v>7</v>
      </c>
      <c r="I2" s="9">
        <v>2</v>
      </c>
      <c r="J2" s="61"/>
    </row>
    <row r="3" spans="1:10" x14ac:dyDescent="0.3">
      <c r="A3" s="60" t="s">
        <v>46</v>
      </c>
      <c r="B3" s="60" t="s">
        <v>124</v>
      </c>
      <c r="C3" s="60" t="s">
        <v>45</v>
      </c>
      <c r="D3" s="60" t="s">
        <v>35</v>
      </c>
      <c r="E3" s="7" t="s">
        <v>126</v>
      </c>
      <c r="F3" s="8">
        <v>37587</v>
      </c>
      <c r="G3" s="60" t="s">
        <v>125</v>
      </c>
      <c r="H3" s="9">
        <v>0</v>
      </c>
      <c r="I3" s="9">
        <v>0</v>
      </c>
      <c r="J3" s="61"/>
    </row>
    <row r="4" spans="1:10" x14ac:dyDescent="0.3">
      <c r="A4" s="60" t="s">
        <v>127</v>
      </c>
      <c r="B4" s="60" t="s">
        <v>128</v>
      </c>
      <c r="C4" s="60" t="s">
        <v>129</v>
      </c>
      <c r="D4" s="60" t="s">
        <v>35</v>
      </c>
      <c r="E4" s="7">
        <v>101010101</v>
      </c>
      <c r="F4" s="8">
        <v>37367</v>
      </c>
      <c r="G4" s="60" t="s">
        <v>135</v>
      </c>
      <c r="H4" s="9">
        <v>0</v>
      </c>
      <c r="I4" s="9">
        <v>0</v>
      </c>
      <c r="J4" s="61"/>
    </row>
    <row r="5" spans="1:10" x14ac:dyDescent="0.3">
      <c r="A5" s="60" t="s">
        <v>33</v>
      </c>
      <c r="B5" s="60" t="s">
        <v>130</v>
      </c>
      <c r="C5" s="60" t="s">
        <v>34</v>
      </c>
      <c r="D5" s="60" t="s">
        <v>35</v>
      </c>
      <c r="E5" s="7">
        <v>781201818</v>
      </c>
      <c r="F5" s="8">
        <v>37397</v>
      </c>
      <c r="G5" s="60" t="s">
        <v>131</v>
      </c>
      <c r="H5" s="9">
        <v>0</v>
      </c>
      <c r="I5" s="9">
        <v>0</v>
      </c>
      <c r="J5" s="61"/>
    </row>
  </sheetData>
  <sheetProtection selectLockedCells="1" selectUnlockedCells="1"/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Ville"/>
  <dimension ref="A1:E31"/>
  <sheetViews>
    <sheetView topLeftCell="A25" workbookViewId="0">
      <selection activeCell="A2" sqref="A2"/>
    </sheetView>
  </sheetViews>
  <sheetFormatPr baseColWidth="10" defaultRowHeight="14.4" x14ac:dyDescent="0.3"/>
  <cols>
    <col min="1" max="1" width="22.109375" customWidth="1"/>
    <col min="2" max="2" width="13.5546875" customWidth="1"/>
    <col min="3" max="3" width="13.109375" customWidth="1"/>
    <col min="4" max="4" width="12.33203125" style="14" customWidth="1"/>
    <col min="5" max="5" width="13.109375" style="14" customWidth="1"/>
  </cols>
  <sheetData>
    <row r="1" spans="1:5" x14ac:dyDescent="0.3">
      <c r="A1" t="s">
        <v>10</v>
      </c>
      <c r="B1" t="s">
        <v>11</v>
      </c>
      <c r="C1" t="s">
        <v>12</v>
      </c>
      <c r="D1" s="14" t="s">
        <v>14</v>
      </c>
      <c r="E1" s="14" t="s">
        <v>13</v>
      </c>
    </row>
    <row r="2" spans="1:5" x14ac:dyDescent="0.3">
      <c r="A2" s="59" t="str">
        <f t="shared" ref="A2:A31" si="0">B2&amp;" ("&amp;C2&amp;")"</f>
        <v>Paris (75000)</v>
      </c>
      <c r="B2" s="59" t="s">
        <v>15</v>
      </c>
      <c r="C2" s="59">
        <v>75000</v>
      </c>
      <c r="D2" s="14" t="s">
        <v>20</v>
      </c>
      <c r="E2" s="14" t="s">
        <v>19</v>
      </c>
    </row>
    <row r="3" spans="1:5" x14ac:dyDescent="0.3">
      <c r="A3" s="59" t="str">
        <f t="shared" si="0"/>
        <v>Lyon (69000)</v>
      </c>
      <c r="B3" s="59" t="s">
        <v>16</v>
      </c>
      <c r="C3" s="59">
        <v>69000</v>
      </c>
      <c r="D3" s="14" t="s">
        <v>18</v>
      </c>
      <c r="E3" s="14" t="s">
        <v>17</v>
      </c>
    </row>
    <row r="4" spans="1:5" x14ac:dyDescent="0.3">
      <c r="A4" s="59" t="str">
        <f t="shared" si="0"/>
        <v>Marseille (13000)</v>
      </c>
      <c r="B4" s="59" t="s">
        <v>21</v>
      </c>
      <c r="C4" s="59">
        <v>13000</v>
      </c>
      <c r="D4" s="14" t="s">
        <v>23</v>
      </c>
      <c r="E4" s="14" t="s">
        <v>22</v>
      </c>
    </row>
    <row r="5" spans="1:5" x14ac:dyDescent="0.3">
      <c r="A5" s="59" t="str">
        <f t="shared" si="0"/>
        <v>Metz (57000)</v>
      </c>
      <c r="B5" s="59" t="s">
        <v>24</v>
      </c>
      <c r="C5" s="59">
        <v>57000</v>
      </c>
      <c r="D5" s="15" t="s">
        <v>26</v>
      </c>
      <c r="E5" s="3" t="s">
        <v>25</v>
      </c>
    </row>
    <row r="6" spans="1:5" x14ac:dyDescent="0.3">
      <c r="A6" s="59" t="str">
        <f t="shared" si="0"/>
        <v>Nancy (54000)</v>
      </c>
      <c r="B6" s="59" t="s">
        <v>27</v>
      </c>
      <c r="C6" s="59">
        <v>54000</v>
      </c>
      <c r="D6" s="14" t="s">
        <v>29</v>
      </c>
      <c r="E6" s="14" t="s">
        <v>28</v>
      </c>
    </row>
    <row r="7" spans="1:5" x14ac:dyDescent="0.3">
      <c r="A7" s="59" t="str">
        <f t="shared" si="0"/>
        <v>Toulouse (31000)</v>
      </c>
      <c r="B7" s="59" t="s">
        <v>47</v>
      </c>
      <c r="C7" s="59">
        <v>31000</v>
      </c>
      <c r="D7" s="14">
        <v>1.4430499999999999</v>
      </c>
      <c r="E7" s="14">
        <v>43.603999999999999</v>
      </c>
    </row>
    <row r="8" spans="1:5" x14ac:dyDescent="0.3">
      <c r="A8" s="59" t="str">
        <f t="shared" si="0"/>
        <v>Nice (6100)</v>
      </c>
      <c r="B8" s="59" t="s">
        <v>48</v>
      </c>
      <c r="C8" s="59">
        <v>6100</v>
      </c>
      <c r="D8" s="14">
        <v>7.2717799999999997</v>
      </c>
      <c r="E8" s="14">
        <v>43.696100000000001</v>
      </c>
    </row>
    <row r="9" spans="1:5" x14ac:dyDescent="0.3">
      <c r="A9" s="59" t="str">
        <f t="shared" si="0"/>
        <v>Nantes (44000)</v>
      </c>
      <c r="B9" s="59" t="s">
        <v>49</v>
      </c>
      <c r="C9" s="59">
        <v>44000</v>
      </c>
      <c r="D9" s="14">
        <v>-1.554346</v>
      </c>
      <c r="E9" s="14">
        <v>47.212197400000001</v>
      </c>
    </row>
    <row r="10" spans="1:5" x14ac:dyDescent="0.3">
      <c r="A10" s="59" t="str">
        <f t="shared" si="0"/>
        <v>Strasbourg (67000)</v>
      </c>
      <c r="B10" s="59" t="s">
        <v>50</v>
      </c>
      <c r="C10" s="59">
        <v>67000</v>
      </c>
      <c r="D10" s="14">
        <v>7.7675299999999998</v>
      </c>
      <c r="E10" s="14">
        <v>48.571300000000001</v>
      </c>
    </row>
    <row r="11" spans="1:5" x14ac:dyDescent="0.3">
      <c r="A11" s="59" t="str">
        <f t="shared" si="0"/>
        <v>Montpellier (34000)</v>
      </c>
      <c r="B11" s="59" t="s">
        <v>51</v>
      </c>
      <c r="C11" s="59">
        <v>34000</v>
      </c>
      <c r="D11" s="14">
        <v>3.8685200000000002</v>
      </c>
      <c r="E11" s="14">
        <v>43.613399999999999</v>
      </c>
    </row>
    <row r="12" spans="1:5" x14ac:dyDescent="0.3">
      <c r="A12" s="59" t="str">
        <f t="shared" si="0"/>
        <v>Bordeaux (33000)</v>
      </c>
      <c r="B12" s="59" t="s">
        <v>52</v>
      </c>
      <c r="C12" s="59">
        <v>33000</v>
      </c>
      <c r="D12" s="14">
        <v>-0.59399999999999997</v>
      </c>
      <c r="E12" s="14">
        <v>44.837800000000001</v>
      </c>
    </row>
    <row r="13" spans="1:5" x14ac:dyDescent="0.3">
      <c r="A13" s="59" t="str">
        <f t="shared" si="0"/>
        <v>Lille (59000)</v>
      </c>
      <c r="B13" s="59" t="s">
        <v>53</v>
      </c>
      <c r="C13" s="59">
        <v>59000</v>
      </c>
      <c r="D13" s="14">
        <v>3.0478299999999998</v>
      </c>
      <c r="E13" s="14">
        <v>50.631700000000002</v>
      </c>
    </row>
    <row r="14" spans="1:5" x14ac:dyDescent="0.3">
      <c r="A14" s="59" t="str">
        <f t="shared" si="0"/>
        <v>Rennes (35000)</v>
      </c>
      <c r="B14" s="59" t="s">
        <v>54</v>
      </c>
      <c r="C14" s="59">
        <v>35000</v>
      </c>
      <c r="D14" s="14">
        <v>-1.68</v>
      </c>
      <c r="E14" s="14">
        <v>48.107999999999997</v>
      </c>
    </row>
    <row r="15" spans="1:5" x14ac:dyDescent="0.3">
      <c r="A15" s="59" t="str">
        <f t="shared" si="0"/>
        <v>Reims (51100)</v>
      </c>
      <c r="B15" s="59" t="s">
        <v>55</v>
      </c>
      <c r="C15" s="59">
        <v>51100</v>
      </c>
      <c r="D15" s="14">
        <v>4.0402300000000002</v>
      </c>
      <c r="E15" s="14">
        <v>49.2515</v>
      </c>
    </row>
    <row r="16" spans="1:5" x14ac:dyDescent="0.3">
      <c r="A16" s="59" t="str">
        <f t="shared" si="0"/>
        <v>Le Havre (76600)</v>
      </c>
      <c r="B16" s="59" t="s">
        <v>56</v>
      </c>
      <c r="C16" s="59">
        <v>76600</v>
      </c>
      <c r="D16" s="14">
        <v>0.127</v>
      </c>
      <c r="E16" s="14">
        <v>49.500999999999998</v>
      </c>
    </row>
    <row r="17" spans="1:5" x14ac:dyDescent="0.3">
      <c r="A17" s="59" t="str">
        <f t="shared" si="0"/>
        <v>Saint-Etienne (42000)</v>
      </c>
      <c r="B17" s="59" t="s">
        <v>57</v>
      </c>
      <c r="C17" s="59">
        <v>42000</v>
      </c>
      <c r="D17" s="14">
        <v>4.0011099999999997</v>
      </c>
      <c r="E17" s="14">
        <v>45.071399999999997</v>
      </c>
    </row>
    <row r="18" spans="1:5" x14ac:dyDescent="0.3">
      <c r="A18" s="59" t="str">
        <f t="shared" si="0"/>
        <v>Toulon (83000)</v>
      </c>
      <c r="B18" s="59" t="s">
        <v>58</v>
      </c>
      <c r="C18" s="59">
        <v>83000</v>
      </c>
      <c r="D18" s="14">
        <v>5.9340000000000002</v>
      </c>
      <c r="E18" s="14">
        <v>43.127000000000002</v>
      </c>
    </row>
    <row r="19" spans="1:5" x14ac:dyDescent="0.3">
      <c r="A19" s="59" t="str">
        <f t="shared" si="0"/>
        <v>Grenoble (38000)</v>
      </c>
      <c r="B19" s="59" t="s">
        <v>59</v>
      </c>
      <c r="C19" s="59">
        <v>38000</v>
      </c>
      <c r="D19" s="14">
        <v>5.72133</v>
      </c>
      <c r="E19" s="14">
        <v>45.182099999999998</v>
      </c>
    </row>
    <row r="20" spans="1:5" x14ac:dyDescent="0.3">
      <c r="A20" s="59" t="str">
        <f t="shared" si="0"/>
        <v>Dijon (21000)</v>
      </c>
      <c r="B20" s="59" t="s">
        <v>60</v>
      </c>
      <c r="C20" s="59">
        <v>21000</v>
      </c>
      <c r="D20" s="14">
        <v>5.0359999999999996</v>
      </c>
      <c r="E20" s="14">
        <v>47.322000000000003</v>
      </c>
    </row>
    <row r="21" spans="1:5" x14ac:dyDescent="0.3">
      <c r="A21" s="59" t="str">
        <f t="shared" si="0"/>
        <v>Nîmes (30000)</v>
      </c>
      <c r="B21" s="59" t="s">
        <v>61</v>
      </c>
      <c r="C21" s="59">
        <v>30000</v>
      </c>
      <c r="D21" s="14">
        <v>4.3600000000000003</v>
      </c>
      <c r="E21" s="14">
        <v>43.836944000000003</v>
      </c>
    </row>
    <row r="22" spans="1:5" x14ac:dyDescent="0.3">
      <c r="A22" s="59" t="str">
        <f t="shared" si="0"/>
        <v>Angers (49000)</v>
      </c>
      <c r="B22" s="59" t="s">
        <v>62</v>
      </c>
      <c r="C22" s="59">
        <v>49000</v>
      </c>
      <c r="D22" s="14">
        <v>-0.54730699999999999</v>
      </c>
      <c r="E22" s="14">
        <v>47.4711</v>
      </c>
    </row>
    <row r="23" spans="1:5" x14ac:dyDescent="0.3">
      <c r="A23" s="59" t="str">
        <f t="shared" si="0"/>
        <v>Villeurbanne (69100)</v>
      </c>
      <c r="B23" s="59" t="s">
        <v>63</v>
      </c>
      <c r="C23" s="59">
        <v>69100</v>
      </c>
      <c r="D23" s="14">
        <v>4.8794399999999998</v>
      </c>
      <c r="E23" s="14">
        <v>45.766100000000002</v>
      </c>
    </row>
    <row r="24" spans="1:5" x14ac:dyDescent="0.3">
      <c r="A24" s="59" t="str">
        <f t="shared" si="0"/>
        <v>Le Mans (72000)</v>
      </c>
      <c r="B24" s="59" t="s">
        <v>64</v>
      </c>
      <c r="C24" s="59">
        <v>72000</v>
      </c>
      <c r="D24" s="14">
        <v>0.20003000000000001</v>
      </c>
      <c r="E24" s="14">
        <v>74.988500000000002</v>
      </c>
    </row>
    <row r="25" spans="1:5" x14ac:dyDescent="0.3">
      <c r="A25" s="59" t="str">
        <f t="shared" si="0"/>
        <v>Aix-en-Provence (13100)</v>
      </c>
      <c r="B25" s="59" t="s">
        <v>65</v>
      </c>
      <c r="C25" s="59">
        <v>13100</v>
      </c>
      <c r="D25" s="14">
        <v>5.3985700000000003</v>
      </c>
      <c r="E25" s="14">
        <v>43.536099999999998</v>
      </c>
    </row>
    <row r="26" spans="1:5" x14ac:dyDescent="0.3">
      <c r="A26" s="59" t="str">
        <f t="shared" si="0"/>
        <v>Clermont-Ferrand (63000)</v>
      </c>
      <c r="B26" s="59" t="s">
        <v>66</v>
      </c>
      <c r="C26" s="59">
        <v>63000</v>
      </c>
      <c r="D26" s="14">
        <v>3.0869399999999998</v>
      </c>
      <c r="E26" s="14">
        <v>45.779699999999998</v>
      </c>
    </row>
    <row r="27" spans="1:5" x14ac:dyDescent="0.3">
      <c r="A27" s="59" t="str">
        <f t="shared" si="0"/>
        <v>Brest (29200)</v>
      </c>
      <c r="B27" s="59" t="s">
        <v>67</v>
      </c>
      <c r="C27" s="59">
        <v>29200</v>
      </c>
      <c r="D27" s="14">
        <v>-4.4833299999999996</v>
      </c>
      <c r="E27" s="14">
        <v>48.389699999999998</v>
      </c>
    </row>
    <row r="28" spans="1:5" x14ac:dyDescent="0.3">
      <c r="A28" s="59" t="str">
        <f t="shared" si="0"/>
        <v>Tours (37100)</v>
      </c>
      <c r="B28" s="59" t="s">
        <v>68</v>
      </c>
      <c r="C28" s="59">
        <v>37100</v>
      </c>
      <c r="D28" s="14">
        <v>0.68400000000000005</v>
      </c>
      <c r="E28" s="14">
        <v>47.393000000000001</v>
      </c>
    </row>
    <row r="29" spans="1:5" x14ac:dyDescent="0.3">
      <c r="A29" s="59" t="str">
        <f t="shared" si="0"/>
        <v>Limoges (87000)</v>
      </c>
      <c r="B29" s="59" t="s">
        <v>69</v>
      </c>
      <c r="C29" s="59">
        <v>87000</v>
      </c>
      <c r="D29" s="14">
        <v>1.2589999999999999</v>
      </c>
      <c r="E29" s="14">
        <v>45.832000000000001</v>
      </c>
    </row>
    <row r="30" spans="1:5" x14ac:dyDescent="0.3">
      <c r="A30" s="59" t="str">
        <f t="shared" si="0"/>
        <v>Amiens (80000)</v>
      </c>
      <c r="B30" s="59" t="s">
        <v>70</v>
      </c>
      <c r="C30" s="59">
        <v>80000</v>
      </c>
      <c r="D30" s="14">
        <v>2.2930000000000001</v>
      </c>
      <c r="E30" s="14">
        <v>49.893999999999998</v>
      </c>
    </row>
    <row r="31" spans="1:5" x14ac:dyDescent="0.3">
      <c r="A31" s="59" t="str">
        <f t="shared" si="0"/>
        <v>Perpignan (66000)</v>
      </c>
      <c r="B31" s="59" t="s">
        <v>71</v>
      </c>
      <c r="C31" s="59">
        <v>66000</v>
      </c>
      <c r="D31" s="14">
        <v>2.8929999999999998</v>
      </c>
      <c r="E31" s="14">
        <v>42.698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Participant"/>
  <dimension ref="A1:B7"/>
  <sheetViews>
    <sheetView workbookViewId="0">
      <selection activeCell="C16" sqref="C16"/>
    </sheetView>
  </sheetViews>
  <sheetFormatPr baseColWidth="10" defaultRowHeight="14.4" x14ac:dyDescent="0.3"/>
  <cols>
    <col min="1" max="1" width="15.33203125" style="6" customWidth="1"/>
    <col min="2" max="2" width="13.6640625" style="6" customWidth="1"/>
  </cols>
  <sheetData>
    <row r="1" spans="1:2" x14ac:dyDescent="0.3">
      <c r="A1" s="6" t="s">
        <v>7</v>
      </c>
      <c r="B1" s="6" t="s">
        <v>0</v>
      </c>
    </row>
    <row r="2" spans="1:2" x14ac:dyDescent="0.3">
      <c r="A2" s="9">
        <v>6</v>
      </c>
      <c r="B2" s="9" t="s">
        <v>33</v>
      </c>
    </row>
    <row r="3" spans="1:2" x14ac:dyDescent="0.3">
      <c r="A3" s="9">
        <v>6</v>
      </c>
      <c r="B3" s="9" t="s">
        <v>46</v>
      </c>
    </row>
    <row r="4" spans="1:2" x14ac:dyDescent="0.3">
      <c r="A4" s="9">
        <v>6</v>
      </c>
      <c r="B4" s="9" t="s">
        <v>127</v>
      </c>
    </row>
    <row r="5" spans="1:2" x14ac:dyDescent="0.3">
      <c r="A5" s="9">
        <v>7</v>
      </c>
      <c r="B5" s="9" t="s">
        <v>33</v>
      </c>
    </row>
    <row r="6" spans="1:2" x14ac:dyDescent="0.3">
      <c r="A6" s="9">
        <v>8</v>
      </c>
      <c r="B6" s="9" t="s">
        <v>33</v>
      </c>
    </row>
    <row r="7" spans="1:2" x14ac:dyDescent="0.3">
      <c r="A7" s="9">
        <v>11</v>
      </c>
      <c r="B7" s="9" t="s">
        <v>36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AE3C2-C63A-47F2-8966-BFD9071B49E9}">
  <sheetPr codeName="SheetNotif"/>
  <dimension ref="A1:F2"/>
  <sheetViews>
    <sheetView workbookViewId="0">
      <selection activeCell="A2" sqref="A2:XFD2"/>
    </sheetView>
  </sheetViews>
  <sheetFormatPr baseColWidth="10" defaultRowHeight="14.4" x14ac:dyDescent="0.3"/>
  <cols>
    <col min="1" max="1" width="9.88671875" customWidth="1"/>
    <col min="2" max="2" width="11" customWidth="1"/>
    <col min="3" max="3" width="13.88671875" customWidth="1"/>
    <col min="4" max="4" width="14.109375" customWidth="1"/>
    <col min="5" max="5" width="24.77734375" customWidth="1"/>
    <col min="6" max="6" width="25.77734375" customWidth="1"/>
  </cols>
  <sheetData>
    <row r="1" spans="1:6" x14ac:dyDescent="0.3">
      <c r="A1" t="s">
        <v>7</v>
      </c>
      <c r="B1" t="s">
        <v>0</v>
      </c>
      <c r="C1" t="s">
        <v>115</v>
      </c>
      <c r="D1" t="s">
        <v>116</v>
      </c>
      <c r="E1" t="s">
        <v>113</v>
      </c>
      <c r="F1" t="s">
        <v>114</v>
      </c>
    </row>
    <row r="2" spans="1:6" x14ac:dyDescent="0.3">
      <c r="A2" s="5"/>
      <c r="B2" s="5"/>
      <c r="C2" s="1"/>
      <c r="D2" s="11"/>
      <c r="E2" s="59"/>
      <c r="F2" s="59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731C2-E1DB-45FC-915D-379148873EAF}">
  <sheetPr codeName="SheetNote"/>
  <dimension ref="A1:C3"/>
  <sheetViews>
    <sheetView workbookViewId="0">
      <selection activeCell="A4" sqref="A4:XFD4"/>
    </sheetView>
  </sheetViews>
  <sheetFormatPr baseColWidth="10" defaultRowHeight="14.4" x14ac:dyDescent="0.3"/>
  <cols>
    <col min="2" max="2" width="13.5546875" customWidth="1"/>
    <col min="3" max="3" width="7.88671875" customWidth="1"/>
  </cols>
  <sheetData>
    <row r="1" spans="1:3" x14ac:dyDescent="0.3">
      <c r="A1" t="s">
        <v>0</v>
      </c>
      <c r="B1" t="s">
        <v>119</v>
      </c>
      <c r="C1" t="s">
        <v>120</v>
      </c>
    </row>
    <row r="2" spans="1:3" x14ac:dyDescent="0.3">
      <c r="A2" s="59" t="s">
        <v>46</v>
      </c>
      <c r="B2" s="59" t="s">
        <v>36</v>
      </c>
      <c r="C2" s="59" t="s">
        <v>132</v>
      </c>
    </row>
    <row r="3" spans="1:3" x14ac:dyDescent="0.3">
      <c r="A3" s="59" t="s">
        <v>127</v>
      </c>
      <c r="B3" s="59" t="s">
        <v>36</v>
      </c>
      <c r="C3" s="59" t="s">
        <v>133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F2A59E-A664-4810-AF8A-7B13B78EE4C7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Accueil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Garibaldi</dc:creator>
  <cp:lastModifiedBy>Florent Tornicelli</cp:lastModifiedBy>
  <dcterms:created xsi:type="dcterms:W3CDTF">2021-09-20T18:52:27Z</dcterms:created>
  <dcterms:modified xsi:type="dcterms:W3CDTF">2021-12-17T17:46:35Z</dcterms:modified>
</cp:coreProperties>
</file>